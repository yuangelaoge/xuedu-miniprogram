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 tabRatio="883"/>
  </bookViews>
  <sheets>
    <sheet name="原始数据" sheetId="1" r:id="rId1"/>
    <sheet name="各班级出勤情况" sheetId="2" r:id="rId2"/>
    <sheet name="各班级违纪情况" sheetId="3" r:id="rId3"/>
    <sheet name="各班级迟到情况" sheetId="4" r:id="rId4"/>
    <sheet name="25级出勤情况  " sheetId="12" r:id="rId5"/>
    <sheet name="25级违纪情况  " sheetId="13" r:id="rId6"/>
    <sheet name="25级迟到情况" sheetId="14" r:id="rId7"/>
    <sheet name="23级出勤情况 " sheetId="8" r:id="rId8"/>
    <sheet name="23级违纪情况 " sheetId="9" r:id="rId9"/>
    <sheet name="23级迟到情况" sheetId="15" r:id="rId10"/>
    <sheet name="24级出勤情况 " sheetId="10" r:id="rId11"/>
    <sheet name="24级违纪情况 " sheetId="11" r:id="rId12"/>
    <sheet name="24级迟到情况" sheetId="16" r:id="rId13"/>
  </sheets>
  <definedNames>
    <definedName name="_xlnm._FilterDatabase" localSheetId="3" hidden="1">各班级迟到情况!$A$1:$A$30</definedName>
    <definedName name="_xlnm._FilterDatabase" localSheetId="2" hidden="1">各班级违纪情况!$A$1:$A$30</definedName>
    <definedName name="_xlnm._FilterDatabase" localSheetId="0" hidden="1">原始数据!$I$3:$I$28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<sst xmlns="http://schemas.openxmlformats.org/spreadsheetml/2006/main" count="93" uniqueCount="66">
  <si>
    <t>计信院学生第X周入班听课汇总表</t>
  </si>
  <si>
    <t>基本信息</t>
  </si>
  <si>
    <t>考勤信息</t>
  </si>
  <si>
    <t>上课状态</t>
  </si>
  <si>
    <t>其他</t>
  </si>
  <si>
    <t>年级</t>
  </si>
  <si>
    <t>听课班级</t>
  </si>
  <si>
    <t>课程名称</t>
  </si>
  <si>
    <t>课程性质</t>
  </si>
  <si>
    <t>应到</t>
  </si>
  <si>
    <t>实到</t>
  </si>
  <si>
    <t>未到</t>
  </si>
  <si>
    <t>出勤率</t>
  </si>
  <si>
    <t>迟到</t>
  </si>
  <si>
    <t>比例</t>
  </si>
  <si>
    <t>早退</t>
  </si>
  <si>
    <t>睡觉</t>
  </si>
  <si>
    <t>玩手机</t>
  </si>
  <si>
    <t>说话</t>
  </si>
  <si>
    <t>违纪情况</t>
  </si>
  <si>
    <t>其他情况</t>
  </si>
  <si>
    <t>人数</t>
  </si>
  <si>
    <t>听课组员对班风评价</t>
  </si>
  <si>
    <t>异常情况及反馈</t>
  </si>
  <si>
    <t>任课教师对班级学风建设的意见及建议</t>
  </si>
  <si>
    <t>25计科1/2</t>
  </si>
  <si>
    <t>25计科3/4</t>
  </si>
  <si>
    <t>25计师1</t>
  </si>
  <si>
    <t>25计师2</t>
  </si>
  <si>
    <t>25计创1/2</t>
  </si>
  <si>
    <t>25计创3/4</t>
  </si>
  <si>
    <t>25软工1/2</t>
  </si>
  <si>
    <t>25软工3/4</t>
  </si>
  <si>
    <t>25软普1/2</t>
  </si>
  <si>
    <t>25软普3/4</t>
  </si>
  <si>
    <t>25自动化1/2</t>
  </si>
  <si>
    <t>25自动化3/4</t>
  </si>
  <si>
    <t>23计科1/2</t>
  </si>
  <si>
    <t>23计科3/4</t>
  </si>
  <si>
    <t>23计师1</t>
  </si>
  <si>
    <t>23计师2</t>
  </si>
  <si>
    <t>23计创1</t>
  </si>
  <si>
    <t>23计创2</t>
  </si>
  <si>
    <t>23网工1/2</t>
  </si>
  <si>
    <t>23软工1/2</t>
  </si>
  <si>
    <t>23软工3/4</t>
  </si>
  <si>
    <t>23软普1/2</t>
  </si>
  <si>
    <t>23软普3/4</t>
  </si>
  <si>
    <t>23自动化1/2</t>
  </si>
  <si>
    <t>23自动化3/4</t>
  </si>
  <si>
    <t>24计科1/2</t>
  </si>
  <si>
    <t>24计科3/4</t>
  </si>
  <si>
    <t>24计师1</t>
  </si>
  <si>
    <t>24计师2</t>
  </si>
  <si>
    <t>24计创1</t>
  </si>
  <si>
    <t>24计创2</t>
  </si>
  <si>
    <t>24网工1/2</t>
  </si>
  <si>
    <t>24自动化1/2</t>
  </si>
  <si>
    <t>24自动化3/4</t>
  </si>
  <si>
    <t>24软普3/4</t>
  </si>
  <si>
    <t>24软普1/2</t>
  </si>
  <si>
    <t>24软工1/2</t>
  </si>
  <si>
    <t>24软工3/4</t>
  </si>
  <si>
    <t>违纪率</t>
  </si>
  <si>
    <t>迟到人数</t>
  </si>
  <si>
    <t>迟到率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</si>
</sst>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4">
    <font>
      <sz val="12"/>
      <name val="宋体"/>
      <charset val="134"/>
    </font>
    <font>
      <sz val="11"/>
      <color indexed="8"/>
      <name val="宋体"/>
      <charset val="134"/>
    </font>
    <font>
      <sz val="11"/>
      <name val="宋体"/>
      <charset val="134"/>
    </font>
    <font>
      <b/>
      <sz val="28"/>
      <name val="宋体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2" borderId="1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7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2" fillId="0" borderId="1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9" applyNumberFormat="0" applyAlignment="0" applyProtection="0">
      <alignment vertical="center"/>
    </xf>
    <xf numFmtId="0" fontId="14" fillId="4" borderId="20" applyNumberFormat="0" applyAlignment="0" applyProtection="0">
      <alignment vertical="center"/>
    </xf>
    <xf numFmtId="0" fontId="15" fillId="4" borderId="19" applyNumberFormat="0" applyAlignment="0" applyProtection="0">
      <alignment vertical="center"/>
    </xf>
    <xf numFmtId="0" fontId="16" fillId="5" borderId="21" applyNumberFormat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3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0" fontId="0" fillId="0" borderId="0" xfId="0" applyNumberFormat="1">
      <alignment vertical="center"/>
    </xf>
    <xf numFmtId="0" fontId="0" fillId="0" borderId="1" xfId="0" applyBorder="1" applyAlignment="1">
      <alignment horizontal="center" vertical="center"/>
    </xf>
    <xf numFmtId="10" fontId="1" fillId="0" borderId="2" xfId="49" applyNumberFormat="1" applyBorder="1" applyAlignment="1">
      <alignment horizontal="center" vertical="center"/>
    </xf>
    <xf numFmtId="10" fontId="1" fillId="0" borderId="0" xfId="49" applyNumberFormat="1" applyAlignment="1">
      <alignment horizontal="center" vertical="center"/>
    </xf>
    <xf numFmtId="0" fontId="2" fillId="0" borderId="2" xfId="49" applyFont="1" applyBorder="1" applyAlignment="1">
      <alignment horizontal="center" vertical="center"/>
    </xf>
    <xf numFmtId="0" fontId="3" fillId="0" borderId="0" xfId="0" applyFo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5" xfId="49" applyBorder="1" applyAlignment="1">
      <alignment horizontal="center" vertical="center"/>
    </xf>
    <xf numFmtId="0" fontId="1" fillId="0" borderId="6" xfId="49" applyBorder="1" applyAlignment="1">
      <alignment horizontal="center" vertical="center"/>
    </xf>
    <xf numFmtId="0" fontId="1" fillId="0" borderId="7" xfId="49" applyBorder="1" applyAlignment="1">
      <alignment horizontal="center" vertical="center"/>
    </xf>
    <xf numFmtId="0" fontId="1" fillId="0" borderId="2" xfId="49" applyBorder="1" applyAlignment="1">
      <alignment horizontal="center" vertical="center"/>
    </xf>
    <xf numFmtId="0" fontId="1" fillId="0" borderId="8" xfId="49" applyBorder="1" applyAlignment="1">
      <alignment horizontal="center" vertical="center"/>
    </xf>
    <xf numFmtId="176" fontId="1" fillId="0" borderId="2" xfId="49" applyNumberFormat="1" applyBorder="1" applyAlignment="1">
      <alignment horizontal="center" vertical="center"/>
    </xf>
    <xf numFmtId="0" fontId="1" fillId="0" borderId="9" xfId="49" applyBorder="1" applyAlignment="1">
      <alignment horizontal="center" vertical="center"/>
    </xf>
    <xf numFmtId="0" fontId="1" fillId="0" borderId="10" xfId="49" applyBorder="1" applyAlignment="1">
      <alignment horizontal="center" vertical="center"/>
    </xf>
    <xf numFmtId="0" fontId="1" fillId="0" borderId="11" xfId="49" applyBorder="1" applyAlignment="1">
      <alignment horizontal="center" vertical="center"/>
    </xf>
    <xf numFmtId="176" fontId="1" fillId="0" borderId="2" xfId="49" applyNumberFormat="1" applyFont="1" applyBorder="1" applyAlignment="1">
      <alignment horizontal="center" vertical="center"/>
    </xf>
    <xf numFmtId="0" fontId="1" fillId="0" borderId="2" xfId="49" applyFont="1" applyBorder="1" applyAlignment="1">
      <alignment horizontal="center" vertical="center"/>
    </xf>
    <xf numFmtId="0" fontId="1" fillId="0" borderId="12" xfId="49" applyBorder="1" applyAlignment="1">
      <alignment horizontal="center" vertical="center"/>
    </xf>
    <xf numFmtId="0" fontId="1" fillId="0" borderId="13" xfId="49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49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/>
    </xf>
    <xf numFmtId="0" fontId="1" fillId="0" borderId="15" xfId="49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0" xfId="0" applyAlignment="1">
      <alignment vertical="top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colors>
    <mruColors>
      <color rgb="00007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www.wps.cn/officeDocument/2021/sharedlinks" Target="sharedlinks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各班级出勤情况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455084752575911"/>
          <c:y val="0.14604285760662"/>
          <c:w val="0.925515042971526"/>
          <c:h val="0.62184699108436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7"/>
            <c:invertIfNegative val="1"/>
            <c:bubble3D val="0"/>
            <c:spPr>
              <a:solidFill>
                <a:srgbClr val="0070C0"/>
              </a:solidFill>
            </c:spPr>
          </c:dPt>
          <c:dLbls>
            <c:dLbl>
              <c:idx val="1"/>
              <c:layout>
                <c:manualLayout>
                  <c:x val="0.000981787835648716"/>
                  <c:y val="0.002029220779220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0.002029220779220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9"/>
              <c:layout>
                <c:manualLayout>
                  <c:x val="0.000490893917824358"/>
                  <c:y val="0.002029220779220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8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0309263168229346"/>
                      <c:h val="0.0424107142857143"/>
                    </c:manualLayout>
                  </c15:layout>
                </c:ext>
              </c:extLst>
            </c:dLbl>
            <c:dLbl>
              <c:idx val="25"/>
              <c:layout>
                <c:manualLayout>
                  <c:x val="0"/>
                  <c:y val="0.002029220779220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6"/>
              <c:layout>
                <c:manualLayout>
                  <c:x val="0"/>
                  <c:y val="0.00202922077922078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各班级出勤情况!$A$2:$A$39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cat>
          <c:val>
            <c:numRef>
              <c:f>各班级出勤情况!$B$2:$B$39</c:f>
              <c:numCache>
                <c:formatCode>0.00%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806716336"/>
        <c:axId val="1"/>
      </c:barChart>
      <c:catAx>
        <c:axId val="8067163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163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db3a8184-0439-4d5e-8712-dec73f1d7df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各班级违纪情况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1886710032741"/>
          <c:y val="0.066314845752387"/>
          <c:w val="0.75420211897113"/>
          <c:h val="0.91278445941139"/>
        </c:manualLayout>
      </c:layout>
      <c:barChart>
        <c:barDir val="bar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7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各班级违纪情况!$A$2:$A$39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cat>
          <c:val>
            <c:numRef>
              <c:f>各班级违纪情况!$B$2:$B$39</c:f>
              <c:numCache>
                <c:formatCode>0.00%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06711936"/>
        <c:axId val="1"/>
      </c:barChart>
      <c:catAx>
        <c:axId val="806711936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119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06a2ed65-c5bf-4755-a611-555d90ff417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各班级迟到情况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038976686907814"/>
          <c:y val="0.169247244094488"/>
          <c:w val="0.946714235898095"/>
          <c:h val="0.556512830013895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7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各班级迟到情况!$A$2:$A$39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cat>
          <c:val>
            <c:numRef>
              <c:f>各班级迟到情况!$B$2:$B$39</c:f>
              <c:numCache>
                <c:formatCode>General</c:formatCode>
                <c:ptCount val="3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5136"/>
        <c:axId val="1"/>
      </c:barChart>
      <c:catAx>
        <c:axId val="806705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5136"/>
        <c:crosses val="autoZero"/>
        <c:crossBetween val="between"/>
        <c:majorUnit val="1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6f88e8f-db46-4630-a947-2ca584a62ac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96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  <a:r>
              <a:rPr lang="en-US" altLang="zh-CN" sz="96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25</a:t>
            </a:r>
            <a:r>
              <a:rPr lang="zh-CN" altLang="en-US" sz="960" u="none" strike="noStrike" cap="none" normalizeH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</a:rPr>
              <a:t>级出勤情况</a:t>
            </a:r>
            <a:endParaRPr lang="zh-CN" altLang="en-US" sz="960" u="none" strike="noStrike" cap="none" normalizeH="0">
              <a:solidFill>
                <a:schemeClr val="tx1"/>
              </a:solidFill>
              <a:uFill>
                <a:solidFill>
                  <a:schemeClr val="tx1"/>
                </a:solidFill>
              </a:uFill>
            </a:endParaRPr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4633521271143"/>
          <c:y val="0.221703617269545"/>
          <c:w val="0.857175807278319"/>
          <c:h val="0.635472578763127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800" b="0" i="0" u="none" strike="noStrike" kern="1200" cap="none" spc="0" normalizeH="0" baseline="0">
                    <a:solidFill>
                      <a:schemeClr val="tx1"/>
                    </a:solidFill>
                    <a:uFill>
                      <a:solidFill>
                        <a:schemeClr val="tx1"/>
                      </a:solidFill>
                    </a:u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'25级出勤情况  '!$A$2:$A$13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'25级出勤情况  '!$B$2:$B$13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3536"/>
        <c:axId val="1"/>
      </c:barChart>
      <c:catAx>
        <c:axId val="8067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1"/>
        <c:crossesAt val="0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800" b="0" i="0" u="none" strike="noStrike" kern="1200" cap="none" spc="0" normalizeH="0" baseline="0">
                <a:solidFill>
                  <a:schemeClr val="tx1"/>
                </a:solidFill>
                <a:uFill>
                  <a:solidFill>
                    <a:schemeClr val="tx1"/>
                  </a:solidFill>
                </a:uFill>
                <a:latin typeface="+mn-lt"/>
                <a:ea typeface="+mn-ea"/>
                <a:cs typeface="+mn-cs"/>
              </a:defRPr>
            </a:pPr>
          </a:p>
        </c:txPr>
        <c:crossAx val="806703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b6a3a145-ab8f-412d-8a3b-f47ea58720f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 sz="800" u="none" strike="noStrike" kern="1200" cap="none" spc="0" normalizeH="0">
          <a:solidFill>
            <a:schemeClr val="tx1"/>
          </a:solidFill>
          <a:uFill>
            <a:solidFill>
              <a:schemeClr val="tx1"/>
            </a:solidFill>
          </a:uFill>
        </a:defRPr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21</a:t>
            </a:r>
            <a:r>
              <a:rPr lang="zh-CN" altLang="en-US"/>
              <a:t>级违纪情况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'25级违纪情况  '!$A$2:$A$9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'25级违纪情况  '!$B$2:$B$9</c:f>
              <c:numCache>
                <c:formatCode>0.00%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9936"/>
        <c:axId val="1"/>
      </c:barChart>
      <c:catAx>
        <c:axId val="80670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99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109cd270-b30f-4a71-9355-8fbed4d289d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lang="zh-CN" altLang="en-US"/>
              <a:t>级违纪情况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'25级违纪情况  '!$A$2:$A$13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'25级违纪情况  '!$B$2:$B$13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9936"/>
        <c:axId val="1"/>
      </c:barChart>
      <c:catAx>
        <c:axId val="80670993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out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99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c2bc6e0f-4fe9-46c0-8513-57069257f92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25</a:t>
            </a:r>
            <a:r>
              <a:rPr lang="zh-CN" altLang="en-US"/>
              <a:t>级迟到情况</a:t>
            </a:r>
            <a:endParaRPr lang="zh-CN" altLang="en-US"/>
          </a:p>
        </c:rich>
      </c:tx>
      <c:layout>
        <c:manualLayout>
          <c:xMode val="edge"/>
          <c:yMode val="edge"/>
          <c:x val="0.408107551251674"/>
          <c:y val="0.0355029585798817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'25级迟到情况'!$A$2:$A$13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cat>
          <c:val>
            <c:numRef>
              <c:f>'25级迟到情况'!$B$2:$B$13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9936"/>
        <c:axId val="1"/>
      </c:barChart>
      <c:catAx>
        <c:axId val="80670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9936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e0a0befd-9d5c-42a4-a915-b9ca532beb8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23</a:t>
            </a:r>
            <a:r>
              <a:rPr lang="zh-CN" altLang="en-US"/>
              <a:t>级出勤情况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33093594218"/>
          <c:y val="0.175448185117274"/>
          <c:w val="0.852843686392953"/>
          <c:h val="0.5644827281298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'23级出勤情况 '!$A$2:$A$14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'23级出勤情况 '!$B$2:$B$14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3536"/>
        <c:axId val="1"/>
      </c:barChart>
      <c:catAx>
        <c:axId val="8067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3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0386c6f0-81c0-4fff-be24-be3100e681f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23</a:t>
            </a:r>
            <a:r>
              <a:rPr lang="zh-CN" altLang="en-US"/>
              <a:t>级违纪情况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'23级违纪情况 '!$A$2:$A$14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'23级违纪情况 '!$B$2:$B$14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9936"/>
        <c:axId val="1"/>
      </c:barChart>
      <c:catAx>
        <c:axId val="80670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99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0ff31b38-8952-47c9-af4a-1c4ef4837b7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23</a:t>
            </a:r>
            <a:r>
              <a:rPr lang="zh-CN" altLang="en-US"/>
              <a:t>级迟到情况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'23级迟到情况'!$A$2:$A$14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'23级迟到情况'!$B$2:$B$14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9936"/>
        <c:axId val="1"/>
      </c:barChart>
      <c:catAx>
        <c:axId val="806709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99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fccab3b2-f727-42ac-8ad9-cd091272f6c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24</a:t>
            </a:r>
            <a:r>
              <a:rPr lang="zh-CN" altLang="en-US"/>
              <a:t>级出勤情况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18933093594218"/>
          <c:y val="0.175448185117274"/>
          <c:w val="0.852843686392953"/>
          <c:h val="0.564482728129836"/>
        </c:manualLayout>
      </c:layout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'24级出勤情况 '!$A$2:$A$14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'24级出勤情况 '!$B$2:$B$14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3536"/>
        <c:axId val="1"/>
      </c:barChart>
      <c:catAx>
        <c:axId val="806703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35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7a5f824d-4403-47e3-bd3e-cddc6801115f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24</a:t>
            </a:r>
            <a:r>
              <a:rPr lang="zh-CN" altLang="en-US"/>
              <a:t>级违纪情况</a:t>
            </a:r>
            <a:endParaRPr lang="zh-CN" altLang="en-US"/>
          </a:p>
        </c:rich>
      </c:tx>
      <c:layout/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'24级违纪情况 '!$A$2:$A$14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'24级违纪情况 '!$B$2:$B$14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8736"/>
        <c:axId val="1"/>
      </c:barChart>
      <c:catAx>
        <c:axId val="80670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8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d6a51ea2-931f-4c83-9952-3c28b67c527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24</a:t>
            </a:r>
            <a:r>
              <a:rPr lang="zh-CN" altLang="en-US"/>
              <a:t>级迟到情况</a:t>
            </a:r>
            <a:endParaRPr lang="zh-CN" altLang="en-US"/>
          </a:p>
        </c:rich>
      </c:tx>
      <c:layout>
        <c:manualLayout>
          <c:xMode val="edge"/>
          <c:yMode val="edge"/>
          <c:x val="0.406769102990033"/>
          <c:y val="0.0257449344457688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0070C0"/>
            </a:solidFill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2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3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4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5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6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7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8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9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0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1"/>
            <c:invertIfNegative val="1"/>
            <c:bubble3D val="0"/>
            <c:spPr>
              <a:solidFill>
                <a:srgbClr val="0070C0"/>
              </a:solidFill>
            </c:spPr>
          </c:dPt>
          <c:dPt>
            <c:idx val="12"/>
            <c:invertIfNegative val="1"/>
            <c:bubble3D val="0"/>
            <c:spPr>
              <a:solidFill>
                <a:srgbClr val="0070C0"/>
              </a:solidFill>
            </c:spPr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numRef>
              <c:f>'24级迟到情况'!$A$2:$A$14</c:f>
              <c:numCache>
                <c:formatCode>General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cat>
          <c:val>
            <c:numRef>
              <c:f>'24级迟到情况'!$B$2:$B$14</c:f>
              <c:numCache>
                <c:formatCode>0.00%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06708736"/>
        <c:axId val="1"/>
      </c:barChart>
      <c:catAx>
        <c:axId val="806708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ln w="6350" cap="flat" cmpd="sng" algn="ctr">
            <a:noFill/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06708736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  <c:extLst>
      <c:ext uri="{0b15fc19-7d7d-44ad-8c2d-2c3a37ce22c3}">
        <chartProps xmlns="https://web.wps.cn/et/2018/main" chartId="{ab55992d-77fe-4fe5-9508-7b1eee011b4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349250</xdr:colOff>
      <xdr:row>6</xdr:row>
      <xdr:rowOff>41275</xdr:rowOff>
    </xdr:from>
    <xdr:to>
      <xdr:col>21</xdr:col>
      <xdr:colOff>254635</xdr:colOff>
      <xdr:row>22</xdr:row>
      <xdr:rowOff>122555</xdr:rowOff>
    </xdr:to>
    <xdr:graphicFrame>
      <xdr:nvGraphicFramePr>
        <xdr:cNvPr id="2" name="图表 2"/>
        <xdr:cNvGraphicFramePr/>
      </xdr:nvGraphicFramePr>
      <xdr:xfrm>
        <a:off x="2139950" y="1184275"/>
        <a:ext cx="12935585" cy="312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644525</xdr:colOff>
      <xdr:row>0</xdr:row>
      <xdr:rowOff>177800</xdr:rowOff>
    </xdr:from>
    <xdr:to>
      <xdr:col>9</xdr:col>
      <xdr:colOff>392642</xdr:colOff>
      <xdr:row>37</xdr:row>
      <xdr:rowOff>78317</xdr:rowOff>
    </xdr:to>
    <xdr:graphicFrame>
      <xdr:nvGraphicFramePr>
        <xdr:cNvPr id="2" name="图表 3"/>
        <xdr:cNvGraphicFramePr/>
      </xdr:nvGraphicFramePr>
      <xdr:xfrm>
        <a:off x="2444750" y="177800"/>
        <a:ext cx="4548505" cy="6948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52918</xdr:colOff>
      <xdr:row>2</xdr:row>
      <xdr:rowOff>19049</xdr:rowOff>
    </xdr:from>
    <xdr:to>
      <xdr:col>14</xdr:col>
      <xdr:colOff>522818</xdr:colOff>
      <xdr:row>38</xdr:row>
      <xdr:rowOff>0</xdr:rowOff>
    </xdr:to>
    <xdr:graphicFrame>
      <xdr:nvGraphicFramePr>
        <xdr:cNvPr id="2" name="图表 4"/>
        <xdr:cNvGraphicFramePr/>
      </xdr:nvGraphicFramePr>
      <xdr:xfrm>
        <a:off x="3091180" y="399415"/>
        <a:ext cx="7327900" cy="68395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463550</xdr:colOff>
      <xdr:row>0</xdr:row>
      <xdr:rowOff>50800</xdr:rowOff>
    </xdr:from>
    <xdr:to>
      <xdr:col>11</xdr:col>
      <xdr:colOff>533400</xdr:colOff>
      <xdr:row>14</xdr:row>
      <xdr:rowOff>48260</xdr:rowOff>
    </xdr:to>
    <xdr:graphicFrame>
      <xdr:nvGraphicFramePr>
        <xdr:cNvPr id="2" name="图表 10"/>
        <xdr:cNvGraphicFramePr/>
      </xdr:nvGraphicFramePr>
      <xdr:xfrm>
        <a:off x="2863850" y="50800"/>
        <a:ext cx="5556250" cy="26644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457200</xdr:colOff>
      <xdr:row>0</xdr:row>
      <xdr:rowOff>139700</xdr:rowOff>
    </xdr:from>
    <xdr:to>
      <xdr:col>12</xdr:col>
      <xdr:colOff>441960</xdr:colOff>
      <xdr:row>12</xdr:row>
      <xdr:rowOff>30339</xdr:rowOff>
    </xdr:to>
    <xdr:graphicFrame>
      <xdr:nvGraphicFramePr>
        <xdr:cNvPr id="2" name="图表 11"/>
        <xdr:cNvGraphicFramePr/>
      </xdr:nvGraphicFramePr>
      <xdr:xfrm>
        <a:off x="2962275" y="139700"/>
        <a:ext cx="6156960" cy="2176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457199</xdr:colOff>
      <xdr:row>0</xdr:row>
      <xdr:rowOff>139700</xdr:rowOff>
    </xdr:from>
    <xdr:to>
      <xdr:col>14</xdr:col>
      <xdr:colOff>244928</xdr:colOff>
      <xdr:row>12</xdr:row>
      <xdr:rowOff>30339</xdr:rowOff>
    </xdr:to>
    <xdr:graphicFrame>
      <xdr:nvGraphicFramePr>
        <xdr:cNvPr id="3" name="图表 11"/>
        <xdr:cNvGraphicFramePr/>
      </xdr:nvGraphicFramePr>
      <xdr:xfrm>
        <a:off x="2961640" y="139700"/>
        <a:ext cx="7331710" cy="2176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401320</xdr:colOff>
      <xdr:row>0</xdr:row>
      <xdr:rowOff>139700</xdr:rowOff>
    </xdr:from>
    <xdr:to>
      <xdr:col>11</xdr:col>
      <xdr:colOff>386080</xdr:colOff>
      <xdr:row>12</xdr:row>
      <xdr:rowOff>0</xdr:rowOff>
    </xdr:to>
    <xdr:graphicFrame>
      <xdr:nvGraphicFramePr>
        <xdr:cNvPr id="2" name="图表 11"/>
        <xdr:cNvGraphicFramePr/>
      </xdr:nvGraphicFramePr>
      <xdr:xfrm>
        <a:off x="2220595" y="139700"/>
        <a:ext cx="6156960" cy="2146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241935</xdr:colOff>
      <xdr:row>0</xdr:row>
      <xdr:rowOff>177165</xdr:rowOff>
    </xdr:from>
    <xdr:to>
      <xdr:col>12</xdr:col>
      <xdr:colOff>31115</xdr:colOff>
      <xdr:row>15</xdr:row>
      <xdr:rowOff>33020</xdr:rowOff>
    </xdr:to>
    <xdr:graphicFrame>
      <xdr:nvGraphicFramePr>
        <xdr:cNvPr id="3" name="图表 10"/>
        <xdr:cNvGraphicFramePr/>
      </xdr:nvGraphicFramePr>
      <xdr:xfrm>
        <a:off x="2632710" y="177165"/>
        <a:ext cx="5961380" cy="27133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467995</xdr:colOff>
      <xdr:row>0</xdr:row>
      <xdr:rowOff>119380</xdr:rowOff>
    </xdr:from>
    <xdr:to>
      <xdr:col>12</xdr:col>
      <xdr:colOff>452755</xdr:colOff>
      <xdr:row>15</xdr:row>
      <xdr:rowOff>10019</xdr:rowOff>
    </xdr:to>
    <xdr:graphicFrame>
      <xdr:nvGraphicFramePr>
        <xdr:cNvPr id="3" name="图表 11"/>
        <xdr:cNvGraphicFramePr/>
      </xdr:nvGraphicFramePr>
      <xdr:xfrm>
        <a:off x="2973070" y="119380"/>
        <a:ext cx="6156960" cy="2747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457200</xdr:colOff>
      <xdr:row>0</xdr:row>
      <xdr:rowOff>139700</xdr:rowOff>
    </xdr:from>
    <xdr:to>
      <xdr:col>12</xdr:col>
      <xdr:colOff>441960</xdr:colOff>
      <xdr:row>15</xdr:row>
      <xdr:rowOff>30339</xdr:rowOff>
    </xdr:to>
    <xdr:graphicFrame>
      <xdr:nvGraphicFramePr>
        <xdr:cNvPr id="2" name="图表 11"/>
        <xdr:cNvGraphicFramePr/>
      </xdr:nvGraphicFramePr>
      <xdr:xfrm>
        <a:off x="2962275" y="139700"/>
        <a:ext cx="6156960" cy="27476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38100</xdr:colOff>
      <xdr:row>0</xdr:row>
      <xdr:rowOff>123825</xdr:rowOff>
    </xdr:from>
    <xdr:to>
      <xdr:col>11</xdr:col>
      <xdr:colOff>109855</xdr:colOff>
      <xdr:row>14</xdr:row>
      <xdr:rowOff>140970</xdr:rowOff>
    </xdr:to>
    <xdr:graphicFrame>
      <xdr:nvGraphicFramePr>
        <xdr:cNvPr id="4" name="图表 10"/>
        <xdr:cNvGraphicFramePr/>
      </xdr:nvGraphicFramePr>
      <xdr:xfrm>
        <a:off x="2428875" y="123825"/>
        <a:ext cx="5558155" cy="2684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596900</xdr:colOff>
      <xdr:row>1</xdr:row>
      <xdr:rowOff>114300</xdr:rowOff>
    </xdr:from>
    <xdr:to>
      <xdr:col>11</xdr:col>
      <xdr:colOff>541020</xdr:colOff>
      <xdr:row>11</xdr:row>
      <xdr:rowOff>4938</xdr:rowOff>
    </xdr:to>
    <xdr:graphicFrame>
      <xdr:nvGraphicFramePr>
        <xdr:cNvPr id="3" name="图表 13"/>
        <xdr:cNvGraphicFramePr/>
      </xdr:nvGraphicFramePr>
      <xdr:xfrm>
        <a:off x="2416175" y="304800"/>
        <a:ext cx="6116320" cy="17951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596900</xdr:colOff>
      <xdr:row>1</xdr:row>
      <xdr:rowOff>128588</xdr:rowOff>
    </xdr:from>
    <xdr:to>
      <xdr:col>11</xdr:col>
      <xdr:colOff>541020</xdr:colOff>
      <xdr:row>11</xdr:row>
      <xdr:rowOff>19226</xdr:rowOff>
    </xdr:to>
    <xdr:graphicFrame>
      <xdr:nvGraphicFramePr>
        <xdr:cNvPr id="2" name="图表 13"/>
        <xdr:cNvGraphicFramePr/>
      </xdr:nvGraphicFramePr>
      <xdr:xfrm>
        <a:off x="2416175" y="318770"/>
        <a:ext cx="6116320" cy="17957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64"/>
  <sheetViews>
    <sheetView tabSelected="1" zoomScale="85" zoomScaleNormal="85" workbookViewId="0">
      <selection activeCell="A1" sqref="A1:Z1"/>
    </sheetView>
  </sheetViews>
  <sheetFormatPr defaultColWidth="9" defaultRowHeight="15"/>
  <cols>
    <col min="1" max="1" width="9" customWidth="1"/>
    <col min="2" max="2" width="16.125" customWidth="1"/>
    <col min="3" max="3" width="21.625" customWidth="1"/>
    <col min="4" max="4" width="14.125" customWidth="1"/>
    <col min="5" max="5" width="4.375" customWidth="1"/>
    <col min="6" max="6" width="4.5" customWidth="1"/>
    <col min="7" max="7" width="8.125" style="2" customWidth="1"/>
    <col min="8" max="8" width="9" customWidth="1"/>
    <col min="9" max="9" width="4.625" customWidth="1"/>
    <col min="10" max="10" width="7.375" style="2" customWidth="1"/>
    <col min="11" max="11" width="4.625" customWidth="1"/>
    <col min="12" max="12" width="7.5" style="2" customWidth="1"/>
    <col min="13" max="13" width="4.125" customWidth="1"/>
    <col min="14" max="14" width="8.625" style="2" customWidth="1"/>
    <col min="15" max="15" width="6.625" customWidth="1"/>
    <col min="16" max="16" width="8.5" style="2" customWidth="1"/>
    <col min="17" max="17" width="5.5" customWidth="1"/>
    <col min="18" max="18" width="11.5" style="2" customWidth="1"/>
    <col min="19" max="19" width="11.5" customWidth="1"/>
    <col min="20" max="20" width="11.5" style="2" customWidth="1"/>
    <col min="21" max="21" width="35.5" customWidth="1"/>
    <col min="22" max="22" width="6.125" customWidth="1"/>
    <col min="23" max="23" width="8" style="2" customWidth="1"/>
    <col min="24" max="24" width="18.375" customWidth="1"/>
    <col min="25" max="25" width="55.625" style="1" customWidth="1"/>
    <col min="26" max="26" width="34.625" style="1" customWidth="1"/>
  </cols>
  <sheetData>
    <row r="1" s="7" customFormat="1" ht="36.25" spans="1:26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25"/>
    </row>
    <row r="2" spans="1:26">
      <c r="A2" s="10" t="s">
        <v>1</v>
      </c>
      <c r="B2" s="10"/>
      <c r="C2" s="10"/>
      <c r="D2" s="10"/>
      <c r="E2" s="11" t="s">
        <v>2</v>
      </c>
      <c r="F2" s="12"/>
      <c r="G2" s="12"/>
      <c r="H2" s="12"/>
      <c r="I2" s="12"/>
      <c r="J2" s="12"/>
      <c r="K2" s="12"/>
      <c r="L2" s="22"/>
      <c r="M2" s="11" t="s">
        <v>3</v>
      </c>
      <c r="N2" s="12"/>
      <c r="O2" s="12"/>
      <c r="P2" s="12"/>
      <c r="Q2" s="12"/>
      <c r="R2" s="12"/>
      <c r="S2" s="12"/>
      <c r="T2" s="12"/>
      <c r="U2" s="12" t="s">
        <v>4</v>
      </c>
      <c r="V2" s="12"/>
      <c r="W2" s="12"/>
      <c r="X2" s="12"/>
      <c r="Y2" s="12"/>
      <c r="Z2" s="26"/>
    </row>
    <row r="3" spans="1:26">
      <c r="A3" s="13" t="s">
        <v>5</v>
      </c>
      <c r="B3" s="13" t="s">
        <v>6</v>
      </c>
      <c r="C3" s="13" t="s">
        <v>7</v>
      </c>
      <c r="D3" s="13" t="s">
        <v>8</v>
      </c>
      <c r="E3" s="13" t="s">
        <v>9</v>
      </c>
      <c r="F3" s="13" t="s">
        <v>10</v>
      </c>
      <c r="G3" s="13" t="s">
        <v>11</v>
      </c>
      <c r="H3" s="4" t="s">
        <v>12</v>
      </c>
      <c r="I3" s="13" t="s">
        <v>13</v>
      </c>
      <c r="J3" s="4" t="s">
        <v>14</v>
      </c>
      <c r="K3" s="13" t="s">
        <v>15</v>
      </c>
      <c r="L3" s="4" t="s">
        <v>14</v>
      </c>
      <c r="M3" s="13" t="s">
        <v>16</v>
      </c>
      <c r="N3" s="4" t="s">
        <v>14</v>
      </c>
      <c r="O3" s="13" t="s">
        <v>17</v>
      </c>
      <c r="P3" s="4" t="s">
        <v>14</v>
      </c>
      <c r="Q3" s="13" t="s">
        <v>18</v>
      </c>
      <c r="R3" s="4" t="s">
        <v>14</v>
      </c>
      <c r="S3" s="13" t="s">
        <v>19</v>
      </c>
      <c r="T3" s="4" t="s">
        <v>14</v>
      </c>
      <c r="U3" s="13" t="s">
        <v>20</v>
      </c>
      <c r="V3" s="13" t="s">
        <v>21</v>
      </c>
      <c r="W3" s="4" t="s">
        <v>14</v>
      </c>
      <c r="X3" s="23" t="s">
        <v>22</v>
      </c>
      <c r="Y3" s="27" t="s">
        <v>23</v>
      </c>
      <c r="Z3" s="23" t="s">
        <v>24</v>
      </c>
    </row>
    <row r="4" spans="1:26">
      <c r="A4" s="14">
        <v>25</v>
      </c>
      <c r="B4" s="13" t="s">
        <v>25</v>
      </c>
      <c r="C4" s="15"/>
      <c r="D4" s="13"/>
      <c r="E4" s="13"/>
      <c r="F4" s="13"/>
      <c r="G4" s="13">
        <f t="shared" ref="G4:G15" si="0">IF(E4&lt;&gt;-1,E4-F4,-1)</f>
        <v>0</v>
      </c>
      <c r="H4" s="4" t="e">
        <f t="shared" ref="H4:H15" si="1">F4/E4</f>
        <v>#DIV/0!</v>
      </c>
      <c r="I4" s="13"/>
      <c r="J4" s="4" t="e">
        <f t="shared" ref="J4:J15" si="2">I4/F4</f>
        <v>#DIV/0!</v>
      </c>
      <c r="K4" s="13"/>
      <c r="L4" s="4" t="e">
        <f t="shared" ref="L4:L15" si="3">K4/E4</f>
        <v>#DIV/0!</v>
      </c>
      <c r="M4" s="13"/>
      <c r="N4" s="4" t="e">
        <f t="shared" ref="N4:N15" si="4">M4/F4</f>
        <v>#DIV/0!</v>
      </c>
      <c r="O4" s="13"/>
      <c r="P4" s="4" t="e">
        <f t="shared" ref="P4:P15" si="5">O4/F4</f>
        <v>#DIV/0!</v>
      </c>
      <c r="Q4" s="13"/>
      <c r="R4" s="4" t="e">
        <f t="shared" ref="R4:R15" si="6">Q4/F4</f>
        <v>#DIV/0!</v>
      </c>
      <c r="S4" s="13">
        <f>IF(OR(M4=-1,O4=-1,Q4=-1),-1,SUM(M4,O4,Q4))</f>
        <v>0</v>
      </c>
      <c r="T4" s="4" t="e">
        <f t="shared" ref="T4:T15" si="7">S4/F4</f>
        <v>#DIV/0!</v>
      </c>
      <c r="U4" s="13"/>
      <c r="V4" s="24"/>
      <c r="W4" s="4" t="e">
        <f t="shared" ref="W4:W15" si="8">V4/F4</f>
        <v>#DIV/0!</v>
      </c>
      <c r="X4" s="13"/>
      <c r="Y4" s="27"/>
      <c r="Z4" s="27"/>
    </row>
    <row r="5" spans="1:26">
      <c r="A5" s="16"/>
      <c r="B5" s="13" t="s">
        <v>26</v>
      </c>
      <c r="C5" s="15"/>
      <c r="D5" s="13"/>
      <c r="E5" s="13"/>
      <c r="F5" s="13"/>
      <c r="G5" s="13">
        <f t="shared" si="0"/>
        <v>0</v>
      </c>
      <c r="H5" s="4" t="e">
        <f t="shared" si="1"/>
        <v>#DIV/0!</v>
      </c>
      <c r="I5" s="13"/>
      <c r="J5" s="4" t="e">
        <f t="shared" si="2"/>
        <v>#DIV/0!</v>
      </c>
      <c r="K5" s="13"/>
      <c r="L5" s="4" t="e">
        <f t="shared" si="3"/>
        <v>#DIV/0!</v>
      </c>
      <c r="M5" s="13"/>
      <c r="N5" s="4" t="e">
        <f t="shared" si="4"/>
        <v>#DIV/0!</v>
      </c>
      <c r="O5" s="13"/>
      <c r="P5" s="4" t="e">
        <f t="shared" si="5"/>
        <v>#DIV/0!</v>
      </c>
      <c r="Q5" s="13"/>
      <c r="R5" s="4" t="e">
        <f t="shared" si="6"/>
        <v>#DIV/0!</v>
      </c>
      <c r="S5" s="13">
        <f t="shared" ref="S5:S41" si="9">IF(OR(M5=-1,O5=-1,Q5=-1),-1,SUM(M5,O5,Q5))</f>
        <v>0</v>
      </c>
      <c r="T5" s="4" t="e">
        <f t="shared" si="7"/>
        <v>#DIV/0!</v>
      </c>
      <c r="U5" s="13"/>
      <c r="V5" s="24"/>
      <c r="W5" s="4" t="e">
        <f t="shared" si="8"/>
        <v>#DIV/0!</v>
      </c>
      <c r="X5" s="13"/>
      <c r="Y5" s="27"/>
      <c r="Z5" s="27"/>
    </row>
    <row r="6" spans="1:26">
      <c r="A6" s="16"/>
      <c r="B6" s="13" t="s">
        <v>27</v>
      </c>
      <c r="C6" s="15"/>
      <c r="D6" s="13"/>
      <c r="E6" s="13"/>
      <c r="F6" s="13"/>
      <c r="G6" s="13">
        <f t="shared" si="0"/>
        <v>0</v>
      </c>
      <c r="H6" s="4" t="e">
        <f t="shared" si="1"/>
        <v>#DIV/0!</v>
      </c>
      <c r="I6" s="13"/>
      <c r="J6" s="4" t="e">
        <f t="shared" si="2"/>
        <v>#DIV/0!</v>
      </c>
      <c r="K6" s="13"/>
      <c r="L6" s="4" t="e">
        <f t="shared" si="3"/>
        <v>#DIV/0!</v>
      </c>
      <c r="M6" s="13"/>
      <c r="N6" s="4" t="e">
        <f t="shared" si="4"/>
        <v>#DIV/0!</v>
      </c>
      <c r="O6" s="13"/>
      <c r="P6" s="4" t="e">
        <f t="shared" si="5"/>
        <v>#DIV/0!</v>
      </c>
      <c r="Q6" s="13"/>
      <c r="R6" s="4" t="e">
        <f t="shared" si="6"/>
        <v>#DIV/0!</v>
      </c>
      <c r="S6" s="13">
        <f t="shared" si="9"/>
        <v>0</v>
      </c>
      <c r="T6" s="4" t="e">
        <f t="shared" si="7"/>
        <v>#DIV/0!</v>
      </c>
      <c r="U6" s="13"/>
      <c r="V6" s="24"/>
      <c r="W6" s="4" t="e">
        <f t="shared" si="8"/>
        <v>#DIV/0!</v>
      </c>
      <c r="X6" s="13"/>
      <c r="Y6" s="27"/>
      <c r="Z6" s="27"/>
    </row>
    <row r="7" spans="1:26">
      <c r="A7" s="16"/>
      <c r="B7" s="13" t="s">
        <v>28</v>
      </c>
      <c r="C7" s="15"/>
      <c r="D7" s="13"/>
      <c r="E7" s="13"/>
      <c r="F7" s="13"/>
      <c r="G7" s="13">
        <f t="shared" si="0"/>
        <v>0</v>
      </c>
      <c r="H7" s="4" t="e">
        <f t="shared" si="1"/>
        <v>#DIV/0!</v>
      </c>
      <c r="I7" s="13"/>
      <c r="J7" s="4" t="e">
        <f t="shared" si="2"/>
        <v>#DIV/0!</v>
      </c>
      <c r="K7" s="13"/>
      <c r="L7" s="4" t="e">
        <f t="shared" si="3"/>
        <v>#DIV/0!</v>
      </c>
      <c r="M7" s="13"/>
      <c r="N7" s="4" t="e">
        <f t="shared" si="4"/>
        <v>#DIV/0!</v>
      </c>
      <c r="O7" s="13"/>
      <c r="P7" s="4" t="e">
        <f t="shared" si="5"/>
        <v>#DIV/0!</v>
      </c>
      <c r="Q7" s="13"/>
      <c r="R7" s="4" t="e">
        <f t="shared" si="6"/>
        <v>#DIV/0!</v>
      </c>
      <c r="S7" s="13">
        <f t="shared" si="9"/>
        <v>0</v>
      </c>
      <c r="T7" s="4" t="e">
        <f t="shared" si="7"/>
        <v>#DIV/0!</v>
      </c>
      <c r="U7" s="13"/>
      <c r="V7" s="24"/>
      <c r="W7" s="4" t="e">
        <f t="shared" si="8"/>
        <v>#DIV/0!</v>
      </c>
      <c r="X7" s="13"/>
      <c r="Y7" s="27"/>
      <c r="Z7" s="27"/>
    </row>
    <row r="8" spans="1:26">
      <c r="A8" s="16"/>
      <c r="B8" s="13" t="s">
        <v>29</v>
      </c>
      <c r="C8" s="15"/>
      <c r="D8" s="13"/>
      <c r="E8" s="13"/>
      <c r="F8" s="13"/>
      <c r="G8" s="13">
        <f t="shared" si="0"/>
        <v>0</v>
      </c>
      <c r="H8" s="4" t="e">
        <f t="shared" si="1"/>
        <v>#DIV/0!</v>
      </c>
      <c r="I8" s="13"/>
      <c r="J8" s="4" t="e">
        <f t="shared" si="2"/>
        <v>#DIV/0!</v>
      </c>
      <c r="K8" s="13"/>
      <c r="L8" s="4" t="e">
        <f t="shared" si="3"/>
        <v>#DIV/0!</v>
      </c>
      <c r="M8" s="13"/>
      <c r="N8" s="4" t="e">
        <f t="shared" si="4"/>
        <v>#DIV/0!</v>
      </c>
      <c r="O8" s="13"/>
      <c r="P8" s="4" t="e">
        <f t="shared" si="5"/>
        <v>#DIV/0!</v>
      </c>
      <c r="Q8" s="13"/>
      <c r="R8" s="4" t="e">
        <f t="shared" si="6"/>
        <v>#DIV/0!</v>
      </c>
      <c r="S8" s="13">
        <f t="shared" si="9"/>
        <v>0</v>
      </c>
      <c r="T8" s="4" t="e">
        <f t="shared" si="7"/>
        <v>#DIV/0!</v>
      </c>
      <c r="U8" s="13"/>
      <c r="V8" s="24"/>
      <c r="W8" s="4" t="e">
        <f t="shared" si="8"/>
        <v>#DIV/0!</v>
      </c>
      <c r="X8" s="13"/>
      <c r="Y8" s="27"/>
      <c r="Z8" s="27"/>
    </row>
    <row r="9" spans="1:26">
      <c r="A9" s="16"/>
      <c r="B9" s="13" t="s">
        <v>30</v>
      </c>
      <c r="C9" s="15"/>
      <c r="D9" s="13"/>
      <c r="E9" s="13"/>
      <c r="F9" s="13"/>
      <c r="G9" s="13">
        <f t="shared" si="0"/>
        <v>0</v>
      </c>
      <c r="H9" s="4" t="e">
        <f t="shared" si="1"/>
        <v>#DIV/0!</v>
      </c>
      <c r="I9" s="13"/>
      <c r="J9" s="4" t="e">
        <f t="shared" si="2"/>
        <v>#DIV/0!</v>
      </c>
      <c r="K9" s="13"/>
      <c r="L9" s="4" t="e">
        <f t="shared" si="3"/>
        <v>#DIV/0!</v>
      </c>
      <c r="M9" s="13"/>
      <c r="N9" s="4" t="e">
        <f t="shared" si="4"/>
        <v>#DIV/0!</v>
      </c>
      <c r="O9" s="13"/>
      <c r="P9" s="4" t="e">
        <f t="shared" si="5"/>
        <v>#DIV/0!</v>
      </c>
      <c r="Q9" s="13"/>
      <c r="R9" s="4" t="e">
        <f t="shared" si="6"/>
        <v>#DIV/0!</v>
      </c>
      <c r="S9" s="13">
        <f t="shared" si="9"/>
        <v>0</v>
      </c>
      <c r="T9" s="4" t="e">
        <f t="shared" si="7"/>
        <v>#DIV/0!</v>
      </c>
      <c r="U9" s="13"/>
      <c r="V9" s="24"/>
      <c r="W9" s="4" t="e">
        <f t="shared" si="8"/>
        <v>#DIV/0!</v>
      </c>
      <c r="X9" s="13"/>
      <c r="Y9" s="27"/>
      <c r="Z9" s="27"/>
    </row>
    <row r="10" spans="1:26">
      <c r="A10" s="16"/>
      <c r="B10" s="13" t="s">
        <v>31</v>
      </c>
      <c r="C10" s="15"/>
      <c r="D10" s="13"/>
      <c r="E10" s="13"/>
      <c r="F10" s="13"/>
      <c r="G10" s="13">
        <f t="shared" si="0"/>
        <v>0</v>
      </c>
      <c r="H10" s="4" t="e">
        <f t="shared" si="1"/>
        <v>#DIV/0!</v>
      </c>
      <c r="I10" s="13"/>
      <c r="J10" s="4" t="e">
        <f t="shared" si="2"/>
        <v>#DIV/0!</v>
      </c>
      <c r="K10" s="13"/>
      <c r="L10" s="4" t="e">
        <f t="shared" si="3"/>
        <v>#DIV/0!</v>
      </c>
      <c r="M10" s="13"/>
      <c r="N10" s="4" t="e">
        <f t="shared" si="4"/>
        <v>#DIV/0!</v>
      </c>
      <c r="O10" s="13"/>
      <c r="P10" s="4" t="e">
        <f t="shared" si="5"/>
        <v>#DIV/0!</v>
      </c>
      <c r="Q10" s="13"/>
      <c r="R10" s="4" t="e">
        <f t="shared" si="6"/>
        <v>#DIV/0!</v>
      </c>
      <c r="S10" s="13">
        <f t="shared" si="9"/>
        <v>0</v>
      </c>
      <c r="T10" s="4" t="e">
        <f t="shared" si="7"/>
        <v>#DIV/0!</v>
      </c>
      <c r="U10" s="13"/>
      <c r="V10" s="24"/>
      <c r="W10" s="4" t="e">
        <f t="shared" si="8"/>
        <v>#DIV/0!</v>
      </c>
      <c r="X10" s="13"/>
      <c r="Y10" s="27"/>
      <c r="Z10" s="27"/>
    </row>
    <row r="11" spans="1:26">
      <c r="A11" s="16"/>
      <c r="B11" s="13" t="s">
        <v>32</v>
      </c>
      <c r="C11" s="15"/>
      <c r="D11" s="13"/>
      <c r="E11" s="13"/>
      <c r="F11" s="13"/>
      <c r="G11" s="13">
        <f t="shared" si="0"/>
        <v>0</v>
      </c>
      <c r="H11" s="4" t="e">
        <f t="shared" si="1"/>
        <v>#DIV/0!</v>
      </c>
      <c r="I11" s="13"/>
      <c r="J11" s="4" t="e">
        <f t="shared" si="2"/>
        <v>#DIV/0!</v>
      </c>
      <c r="K11" s="13"/>
      <c r="L11" s="4" t="e">
        <f t="shared" si="3"/>
        <v>#DIV/0!</v>
      </c>
      <c r="M11" s="13"/>
      <c r="N11" s="4" t="e">
        <f t="shared" si="4"/>
        <v>#DIV/0!</v>
      </c>
      <c r="O11" s="13"/>
      <c r="P11" s="4" t="e">
        <f t="shared" si="5"/>
        <v>#DIV/0!</v>
      </c>
      <c r="Q11" s="13"/>
      <c r="R11" s="4" t="e">
        <f t="shared" si="6"/>
        <v>#DIV/0!</v>
      </c>
      <c r="S11" s="13">
        <f t="shared" si="9"/>
        <v>0</v>
      </c>
      <c r="T11" s="4" t="e">
        <f t="shared" si="7"/>
        <v>#DIV/0!</v>
      </c>
      <c r="U11" s="13"/>
      <c r="V11" s="24"/>
      <c r="W11" s="4" t="e">
        <f t="shared" si="8"/>
        <v>#DIV/0!</v>
      </c>
      <c r="X11" s="13"/>
      <c r="Y11" s="27"/>
      <c r="Z11" s="27"/>
    </row>
    <row r="12" spans="1:26">
      <c r="A12" s="16"/>
      <c r="B12" s="13" t="s">
        <v>33</v>
      </c>
      <c r="C12" s="15"/>
      <c r="D12" s="13"/>
      <c r="E12" s="13"/>
      <c r="F12" s="13"/>
      <c r="G12" s="13">
        <f t="shared" si="0"/>
        <v>0</v>
      </c>
      <c r="H12" s="4" t="e">
        <f t="shared" si="1"/>
        <v>#DIV/0!</v>
      </c>
      <c r="I12" s="13"/>
      <c r="J12" s="4" t="e">
        <f t="shared" si="2"/>
        <v>#DIV/0!</v>
      </c>
      <c r="K12" s="13"/>
      <c r="L12" s="4" t="e">
        <f t="shared" si="3"/>
        <v>#DIV/0!</v>
      </c>
      <c r="M12" s="13"/>
      <c r="N12" s="4" t="e">
        <f t="shared" si="4"/>
        <v>#DIV/0!</v>
      </c>
      <c r="O12" s="13"/>
      <c r="P12" s="4" t="e">
        <f t="shared" si="5"/>
        <v>#DIV/0!</v>
      </c>
      <c r="Q12" s="13"/>
      <c r="R12" s="4" t="e">
        <f t="shared" si="6"/>
        <v>#DIV/0!</v>
      </c>
      <c r="S12" s="13">
        <f t="shared" si="9"/>
        <v>0</v>
      </c>
      <c r="T12" s="4" t="e">
        <f t="shared" si="7"/>
        <v>#DIV/0!</v>
      </c>
      <c r="U12" s="13"/>
      <c r="V12" s="24"/>
      <c r="W12" s="4" t="e">
        <f t="shared" si="8"/>
        <v>#DIV/0!</v>
      </c>
      <c r="X12" s="13"/>
      <c r="Y12" s="27"/>
      <c r="Z12" s="27"/>
    </row>
    <row r="13" spans="1:26">
      <c r="A13" s="16"/>
      <c r="B13" s="13" t="s">
        <v>34</v>
      </c>
      <c r="C13" s="15"/>
      <c r="D13" s="13"/>
      <c r="E13" s="13"/>
      <c r="F13" s="13"/>
      <c r="G13" s="13">
        <f t="shared" si="0"/>
        <v>0</v>
      </c>
      <c r="H13" s="4" t="e">
        <f t="shared" si="1"/>
        <v>#DIV/0!</v>
      </c>
      <c r="I13" s="13"/>
      <c r="J13" s="4" t="e">
        <f t="shared" si="2"/>
        <v>#DIV/0!</v>
      </c>
      <c r="K13" s="13"/>
      <c r="L13" s="4" t="e">
        <f t="shared" si="3"/>
        <v>#DIV/0!</v>
      </c>
      <c r="M13" s="13"/>
      <c r="N13" s="4" t="e">
        <f t="shared" si="4"/>
        <v>#DIV/0!</v>
      </c>
      <c r="O13" s="13"/>
      <c r="P13" s="4" t="e">
        <f t="shared" si="5"/>
        <v>#DIV/0!</v>
      </c>
      <c r="Q13" s="13"/>
      <c r="R13" s="4" t="e">
        <f t="shared" si="6"/>
        <v>#DIV/0!</v>
      </c>
      <c r="S13" s="13">
        <f t="shared" si="9"/>
        <v>0</v>
      </c>
      <c r="T13" s="4" t="e">
        <f t="shared" si="7"/>
        <v>#DIV/0!</v>
      </c>
      <c r="U13" s="13"/>
      <c r="V13" s="24"/>
      <c r="W13" s="4" t="e">
        <f t="shared" si="8"/>
        <v>#DIV/0!</v>
      </c>
      <c r="X13" s="13"/>
      <c r="Y13" s="27"/>
      <c r="Z13" s="27"/>
    </row>
    <row r="14" spans="1:26">
      <c r="A14" s="16"/>
      <c r="B14" s="13" t="s">
        <v>35</v>
      </c>
      <c r="C14" s="15"/>
      <c r="D14" s="13"/>
      <c r="E14" s="13"/>
      <c r="F14" s="13"/>
      <c r="G14" s="13">
        <f t="shared" si="0"/>
        <v>0</v>
      </c>
      <c r="H14" s="4" t="e">
        <f t="shared" si="1"/>
        <v>#DIV/0!</v>
      </c>
      <c r="I14" s="13"/>
      <c r="J14" s="4" t="e">
        <f t="shared" si="2"/>
        <v>#DIV/0!</v>
      </c>
      <c r="K14" s="13"/>
      <c r="L14" s="4" t="e">
        <f t="shared" si="3"/>
        <v>#DIV/0!</v>
      </c>
      <c r="M14" s="13"/>
      <c r="N14" s="4" t="e">
        <f t="shared" si="4"/>
        <v>#DIV/0!</v>
      </c>
      <c r="O14" s="13"/>
      <c r="P14" s="4" t="e">
        <f t="shared" si="5"/>
        <v>#DIV/0!</v>
      </c>
      <c r="Q14" s="13"/>
      <c r="R14" s="4" t="e">
        <f t="shared" si="6"/>
        <v>#DIV/0!</v>
      </c>
      <c r="S14" s="13">
        <f t="shared" si="9"/>
        <v>0</v>
      </c>
      <c r="T14" s="4" t="e">
        <f t="shared" si="7"/>
        <v>#DIV/0!</v>
      </c>
      <c r="U14" s="13"/>
      <c r="V14" s="24"/>
      <c r="W14" s="4" t="e">
        <f t="shared" si="8"/>
        <v>#DIV/0!</v>
      </c>
      <c r="X14" s="13"/>
      <c r="Y14" s="27"/>
      <c r="Z14" s="27"/>
    </row>
    <row r="15" spans="1:26">
      <c r="A15" s="17"/>
      <c r="B15" s="13" t="s">
        <v>36</v>
      </c>
      <c r="C15" s="15"/>
      <c r="D15" s="13"/>
      <c r="E15" s="13"/>
      <c r="F15" s="13"/>
      <c r="G15" s="13">
        <f t="shared" si="0"/>
        <v>0</v>
      </c>
      <c r="H15" s="4" t="e">
        <f t="shared" si="1"/>
        <v>#DIV/0!</v>
      </c>
      <c r="I15" s="13"/>
      <c r="J15" s="4" t="e">
        <f t="shared" si="2"/>
        <v>#DIV/0!</v>
      </c>
      <c r="K15" s="13"/>
      <c r="L15" s="4" t="e">
        <f t="shared" si="3"/>
        <v>#DIV/0!</v>
      </c>
      <c r="M15" s="13"/>
      <c r="N15" s="4" t="e">
        <f t="shared" si="4"/>
        <v>#DIV/0!</v>
      </c>
      <c r="O15" s="13"/>
      <c r="P15" s="4" t="e">
        <f t="shared" si="5"/>
        <v>#DIV/0!</v>
      </c>
      <c r="Q15" s="13"/>
      <c r="R15" s="4" t="e">
        <f t="shared" si="6"/>
        <v>#DIV/0!</v>
      </c>
      <c r="S15" s="13">
        <f t="shared" si="9"/>
        <v>0</v>
      </c>
      <c r="T15" s="4" t="e">
        <f t="shared" si="7"/>
        <v>#DIV/0!</v>
      </c>
      <c r="U15" s="13"/>
      <c r="V15" s="24"/>
      <c r="W15" s="4" t="e">
        <f t="shared" si="8"/>
        <v>#DIV/0!</v>
      </c>
      <c r="X15" s="13"/>
      <c r="Y15" s="27"/>
      <c r="Z15" s="27"/>
    </row>
    <row r="16" spans="1:26">
      <c r="A16" s="18">
        <v>23</v>
      </c>
      <c r="B16" s="13" t="s">
        <v>37</v>
      </c>
      <c r="C16" s="19"/>
      <c r="D16" s="20"/>
      <c r="E16" s="13"/>
      <c r="F16" s="13"/>
      <c r="G16" s="13">
        <f t="shared" ref="G10:G41" si="10">IF(E16&lt;&gt;-1,E16-F16,-1)</f>
        <v>0</v>
      </c>
      <c r="H16" s="4" t="e">
        <f t="shared" ref="H10:H41" si="11">F16/E16</f>
        <v>#DIV/0!</v>
      </c>
      <c r="I16" s="13"/>
      <c r="J16" s="4" t="e">
        <f t="shared" ref="J10:J41" si="12">I16/F16</f>
        <v>#DIV/0!</v>
      </c>
      <c r="K16" s="13"/>
      <c r="L16" s="4" t="e">
        <f t="shared" ref="L10:L41" si="13">K16/E16</f>
        <v>#DIV/0!</v>
      </c>
      <c r="M16" s="13"/>
      <c r="N16" s="4" t="e">
        <f t="shared" ref="N10:N41" si="14">M16/F16</f>
        <v>#DIV/0!</v>
      </c>
      <c r="O16" s="13"/>
      <c r="P16" s="4" t="e">
        <f t="shared" ref="P10:P41" si="15">O16/F16</f>
        <v>#DIV/0!</v>
      </c>
      <c r="Q16" s="13"/>
      <c r="R16" s="4" t="e">
        <f t="shared" ref="R10:R41" si="16">Q16/F16</f>
        <v>#DIV/0!</v>
      </c>
      <c r="S16" s="13">
        <f t="shared" si="9"/>
        <v>0</v>
      </c>
      <c r="T16" s="4" t="e">
        <f t="shared" ref="T10:T41" si="17">S16/F16</f>
        <v>#DIV/0!</v>
      </c>
      <c r="U16" s="20"/>
      <c r="V16" s="24"/>
      <c r="W16" s="4" t="e">
        <f t="shared" ref="W10:W41" si="18">V16/F16</f>
        <v>#DIV/0!</v>
      </c>
      <c r="X16" s="20"/>
      <c r="Y16" s="28"/>
      <c r="Z16" s="28"/>
    </row>
    <row r="17" spans="1:26">
      <c r="A17" s="21"/>
      <c r="B17" s="13" t="s">
        <v>38</v>
      </c>
      <c r="C17" s="19"/>
      <c r="D17" s="20"/>
      <c r="E17" s="13"/>
      <c r="F17" s="13"/>
      <c r="G17" s="13">
        <f t="shared" si="10"/>
        <v>0</v>
      </c>
      <c r="H17" s="4" t="e">
        <f t="shared" si="11"/>
        <v>#DIV/0!</v>
      </c>
      <c r="I17" s="13"/>
      <c r="J17" s="4" t="e">
        <f t="shared" si="12"/>
        <v>#DIV/0!</v>
      </c>
      <c r="K17" s="13"/>
      <c r="L17" s="4" t="e">
        <f t="shared" si="13"/>
        <v>#DIV/0!</v>
      </c>
      <c r="M17" s="13"/>
      <c r="N17" s="4" t="e">
        <f t="shared" si="14"/>
        <v>#DIV/0!</v>
      </c>
      <c r="O17" s="13"/>
      <c r="P17" s="4" t="e">
        <f t="shared" si="15"/>
        <v>#DIV/0!</v>
      </c>
      <c r="Q17" s="13"/>
      <c r="R17" s="4" t="e">
        <f t="shared" si="16"/>
        <v>#DIV/0!</v>
      </c>
      <c r="S17" s="13">
        <f t="shared" si="9"/>
        <v>0</v>
      </c>
      <c r="T17" s="4" t="e">
        <f t="shared" si="17"/>
        <v>#DIV/0!</v>
      </c>
      <c r="U17" s="20"/>
      <c r="V17" s="24"/>
      <c r="W17" s="4" t="e">
        <f t="shared" si="18"/>
        <v>#DIV/0!</v>
      </c>
      <c r="X17" s="20"/>
      <c r="Y17" s="28"/>
      <c r="Z17" s="28"/>
    </row>
    <row r="18" spans="1:26">
      <c r="A18" s="21"/>
      <c r="B18" s="13" t="s">
        <v>39</v>
      </c>
      <c r="C18" s="19"/>
      <c r="D18" s="20"/>
      <c r="E18" s="13"/>
      <c r="F18" s="13"/>
      <c r="G18" s="13">
        <f t="shared" si="10"/>
        <v>0</v>
      </c>
      <c r="H18" s="4" t="e">
        <f t="shared" si="11"/>
        <v>#DIV/0!</v>
      </c>
      <c r="I18" s="13"/>
      <c r="J18" s="4" t="e">
        <f t="shared" si="12"/>
        <v>#DIV/0!</v>
      </c>
      <c r="K18" s="13"/>
      <c r="L18" s="4" t="e">
        <f t="shared" si="13"/>
        <v>#DIV/0!</v>
      </c>
      <c r="M18" s="13"/>
      <c r="N18" s="4" t="e">
        <f t="shared" si="14"/>
        <v>#DIV/0!</v>
      </c>
      <c r="O18" s="13"/>
      <c r="P18" s="4" t="e">
        <f t="shared" si="15"/>
        <v>#DIV/0!</v>
      </c>
      <c r="Q18" s="13"/>
      <c r="R18" s="4" t="e">
        <f t="shared" si="16"/>
        <v>#DIV/0!</v>
      </c>
      <c r="S18" s="13">
        <f t="shared" si="9"/>
        <v>0</v>
      </c>
      <c r="T18" s="4" t="e">
        <f t="shared" si="17"/>
        <v>#DIV/0!</v>
      </c>
      <c r="U18" s="20"/>
      <c r="V18" s="24"/>
      <c r="W18" s="4" t="e">
        <f t="shared" si="18"/>
        <v>#DIV/0!</v>
      </c>
      <c r="X18" s="20"/>
      <c r="Y18" s="28"/>
      <c r="Z18" s="28"/>
    </row>
    <row r="19" spans="1:26">
      <c r="A19" s="21"/>
      <c r="B19" s="13" t="s">
        <v>40</v>
      </c>
      <c r="C19" s="19"/>
      <c r="D19" s="20"/>
      <c r="E19" s="13"/>
      <c r="F19" s="13"/>
      <c r="G19" s="13">
        <f t="shared" si="10"/>
        <v>0</v>
      </c>
      <c r="H19" s="4" t="e">
        <f t="shared" si="11"/>
        <v>#DIV/0!</v>
      </c>
      <c r="I19" s="13"/>
      <c r="J19" s="4" t="e">
        <f t="shared" si="12"/>
        <v>#DIV/0!</v>
      </c>
      <c r="K19" s="13"/>
      <c r="L19" s="4" t="e">
        <f t="shared" si="13"/>
        <v>#DIV/0!</v>
      </c>
      <c r="M19" s="13"/>
      <c r="N19" s="4" t="e">
        <f t="shared" si="14"/>
        <v>#DIV/0!</v>
      </c>
      <c r="O19" s="13"/>
      <c r="P19" s="4" t="e">
        <f t="shared" si="15"/>
        <v>#DIV/0!</v>
      </c>
      <c r="Q19" s="13"/>
      <c r="R19" s="4" t="e">
        <f t="shared" si="16"/>
        <v>#DIV/0!</v>
      </c>
      <c r="S19" s="13">
        <f t="shared" si="9"/>
        <v>0</v>
      </c>
      <c r="T19" s="4" t="e">
        <f t="shared" si="17"/>
        <v>#DIV/0!</v>
      </c>
      <c r="U19" s="20"/>
      <c r="V19" s="24"/>
      <c r="W19" s="4" t="e">
        <f t="shared" si="18"/>
        <v>#DIV/0!</v>
      </c>
      <c r="X19" s="20"/>
      <c r="Y19" s="28"/>
      <c r="Z19" s="28"/>
    </row>
    <row r="20" spans="1:26">
      <c r="A20" s="21"/>
      <c r="B20" s="13" t="s">
        <v>41</v>
      </c>
      <c r="C20" s="19"/>
      <c r="D20" s="20"/>
      <c r="E20" s="13"/>
      <c r="F20" s="13"/>
      <c r="G20" s="13">
        <f t="shared" si="10"/>
        <v>0</v>
      </c>
      <c r="H20" s="4" t="e">
        <f t="shared" si="11"/>
        <v>#DIV/0!</v>
      </c>
      <c r="I20" s="13"/>
      <c r="J20" s="4" t="e">
        <f t="shared" si="12"/>
        <v>#DIV/0!</v>
      </c>
      <c r="K20" s="13"/>
      <c r="L20" s="4" t="e">
        <f t="shared" si="13"/>
        <v>#DIV/0!</v>
      </c>
      <c r="M20" s="13"/>
      <c r="N20" s="4" t="e">
        <f t="shared" si="14"/>
        <v>#DIV/0!</v>
      </c>
      <c r="O20" s="13"/>
      <c r="P20" s="4" t="e">
        <f t="shared" si="15"/>
        <v>#DIV/0!</v>
      </c>
      <c r="Q20" s="13"/>
      <c r="R20" s="4" t="e">
        <f t="shared" si="16"/>
        <v>#DIV/0!</v>
      </c>
      <c r="S20" s="13">
        <f t="shared" si="9"/>
        <v>0</v>
      </c>
      <c r="T20" s="4" t="e">
        <f t="shared" si="17"/>
        <v>#DIV/0!</v>
      </c>
      <c r="U20" s="20"/>
      <c r="V20" s="24"/>
      <c r="W20" s="4" t="e">
        <f t="shared" si="18"/>
        <v>#DIV/0!</v>
      </c>
      <c r="X20" s="20"/>
      <c r="Y20" s="28"/>
      <c r="Z20" s="28"/>
    </row>
    <row r="21" spans="1:26">
      <c r="A21" s="21"/>
      <c r="B21" s="13" t="s">
        <v>42</v>
      </c>
      <c r="C21" s="19"/>
      <c r="D21" s="20"/>
      <c r="E21" s="13"/>
      <c r="F21" s="13"/>
      <c r="G21" s="13">
        <f t="shared" si="10"/>
        <v>0</v>
      </c>
      <c r="H21" s="4" t="e">
        <f t="shared" si="11"/>
        <v>#DIV/0!</v>
      </c>
      <c r="I21" s="13"/>
      <c r="J21" s="4" t="e">
        <f t="shared" si="12"/>
        <v>#DIV/0!</v>
      </c>
      <c r="K21" s="13"/>
      <c r="L21" s="4" t="e">
        <f t="shared" si="13"/>
        <v>#DIV/0!</v>
      </c>
      <c r="M21" s="13"/>
      <c r="N21" s="4" t="e">
        <f t="shared" si="14"/>
        <v>#DIV/0!</v>
      </c>
      <c r="O21" s="13"/>
      <c r="P21" s="4" t="e">
        <f t="shared" si="15"/>
        <v>#DIV/0!</v>
      </c>
      <c r="Q21" s="13"/>
      <c r="R21" s="4" t="e">
        <f t="shared" si="16"/>
        <v>#DIV/0!</v>
      </c>
      <c r="S21" s="13">
        <f t="shared" si="9"/>
        <v>0</v>
      </c>
      <c r="T21" s="4" t="e">
        <f t="shared" si="17"/>
        <v>#DIV/0!</v>
      </c>
      <c r="U21" s="20"/>
      <c r="V21" s="24"/>
      <c r="W21" s="4" t="e">
        <f t="shared" si="18"/>
        <v>#DIV/0!</v>
      </c>
      <c r="X21" s="20"/>
      <c r="Y21" s="28"/>
      <c r="Z21" s="28"/>
    </row>
    <row r="22" spans="1:26">
      <c r="A22" s="21"/>
      <c r="B22" s="13" t="s">
        <v>43</v>
      </c>
      <c r="C22" s="19"/>
      <c r="D22" s="20"/>
      <c r="E22" s="13"/>
      <c r="F22" s="13"/>
      <c r="G22" s="13">
        <f t="shared" si="10"/>
        <v>0</v>
      </c>
      <c r="H22" s="4" t="e">
        <f t="shared" si="11"/>
        <v>#DIV/0!</v>
      </c>
      <c r="I22" s="13"/>
      <c r="J22" s="4" t="e">
        <f t="shared" si="12"/>
        <v>#DIV/0!</v>
      </c>
      <c r="K22" s="13"/>
      <c r="L22" s="4" t="e">
        <f t="shared" si="13"/>
        <v>#DIV/0!</v>
      </c>
      <c r="M22" s="13"/>
      <c r="N22" s="4" t="e">
        <f t="shared" si="14"/>
        <v>#DIV/0!</v>
      </c>
      <c r="O22" s="13"/>
      <c r="P22" s="4" t="e">
        <f t="shared" si="15"/>
        <v>#DIV/0!</v>
      </c>
      <c r="Q22" s="13"/>
      <c r="R22" s="4" t="e">
        <f t="shared" si="16"/>
        <v>#DIV/0!</v>
      </c>
      <c r="S22" s="13">
        <f t="shared" si="9"/>
        <v>0</v>
      </c>
      <c r="T22" s="4" t="e">
        <f t="shared" si="17"/>
        <v>#DIV/0!</v>
      </c>
      <c r="U22" s="20"/>
      <c r="V22" s="24"/>
      <c r="W22" s="4" t="e">
        <f t="shared" si="18"/>
        <v>#DIV/0!</v>
      </c>
      <c r="X22" s="20"/>
      <c r="Y22" s="28"/>
      <c r="Z22" s="28"/>
    </row>
    <row r="23" spans="1:26">
      <c r="A23" s="21"/>
      <c r="B23" s="13" t="s">
        <v>44</v>
      </c>
      <c r="C23" s="15"/>
      <c r="D23" s="13"/>
      <c r="E23" s="13"/>
      <c r="F23" s="13"/>
      <c r="G23" s="13">
        <f t="shared" si="10"/>
        <v>0</v>
      </c>
      <c r="H23" s="4" t="e">
        <f t="shared" si="11"/>
        <v>#DIV/0!</v>
      </c>
      <c r="I23" s="13"/>
      <c r="J23" s="4" t="e">
        <f t="shared" si="12"/>
        <v>#DIV/0!</v>
      </c>
      <c r="K23" s="13"/>
      <c r="L23" s="4" t="e">
        <f t="shared" si="13"/>
        <v>#DIV/0!</v>
      </c>
      <c r="M23" s="13"/>
      <c r="N23" s="4" t="e">
        <f t="shared" si="14"/>
        <v>#DIV/0!</v>
      </c>
      <c r="O23" s="13"/>
      <c r="P23" s="4" t="e">
        <f t="shared" si="15"/>
        <v>#DIV/0!</v>
      </c>
      <c r="Q23" s="13"/>
      <c r="R23" s="4" t="e">
        <f t="shared" si="16"/>
        <v>#DIV/0!</v>
      </c>
      <c r="S23" s="13">
        <f t="shared" si="9"/>
        <v>0</v>
      </c>
      <c r="T23" s="4" t="e">
        <f t="shared" si="17"/>
        <v>#DIV/0!</v>
      </c>
      <c r="U23" s="13"/>
      <c r="V23" s="24"/>
      <c r="W23" s="4" t="e">
        <f t="shared" si="18"/>
        <v>#DIV/0!</v>
      </c>
      <c r="X23" s="13"/>
      <c r="Y23" s="27"/>
      <c r="Z23" s="27"/>
    </row>
    <row r="24" spans="1:26">
      <c r="A24" s="21"/>
      <c r="B24" s="13" t="s">
        <v>45</v>
      </c>
      <c r="C24" s="15"/>
      <c r="D24" s="13"/>
      <c r="E24" s="13"/>
      <c r="F24" s="13"/>
      <c r="G24" s="13">
        <f t="shared" si="10"/>
        <v>0</v>
      </c>
      <c r="H24" s="4" t="e">
        <f t="shared" si="11"/>
        <v>#DIV/0!</v>
      </c>
      <c r="I24" s="13"/>
      <c r="J24" s="4" t="e">
        <f t="shared" si="12"/>
        <v>#DIV/0!</v>
      </c>
      <c r="K24" s="13"/>
      <c r="L24" s="4" t="e">
        <f t="shared" si="13"/>
        <v>#DIV/0!</v>
      </c>
      <c r="M24" s="13"/>
      <c r="N24" s="4" t="e">
        <f t="shared" si="14"/>
        <v>#DIV/0!</v>
      </c>
      <c r="O24" s="13"/>
      <c r="P24" s="4" t="e">
        <f t="shared" si="15"/>
        <v>#DIV/0!</v>
      </c>
      <c r="Q24" s="13"/>
      <c r="R24" s="4" t="e">
        <f t="shared" si="16"/>
        <v>#DIV/0!</v>
      </c>
      <c r="S24" s="13">
        <f t="shared" si="9"/>
        <v>0</v>
      </c>
      <c r="T24" s="4" t="e">
        <f t="shared" si="17"/>
        <v>#DIV/0!</v>
      </c>
      <c r="U24" s="13"/>
      <c r="V24" s="24"/>
      <c r="W24" s="4" t="e">
        <f t="shared" si="18"/>
        <v>#DIV/0!</v>
      </c>
      <c r="X24" s="13"/>
      <c r="Y24" s="27"/>
      <c r="Z24" s="27"/>
    </row>
    <row r="25" spans="1:26">
      <c r="A25" s="21"/>
      <c r="B25" s="13" t="s">
        <v>46</v>
      </c>
      <c r="C25" s="15"/>
      <c r="D25" s="13"/>
      <c r="E25" s="13"/>
      <c r="F25" s="13"/>
      <c r="G25" s="13">
        <f t="shared" si="10"/>
        <v>0</v>
      </c>
      <c r="H25" s="4" t="e">
        <f t="shared" si="11"/>
        <v>#DIV/0!</v>
      </c>
      <c r="I25" s="13"/>
      <c r="J25" s="4" t="e">
        <f t="shared" si="12"/>
        <v>#DIV/0!</v>
      </c>
      <c r="K25" s="13"/>
      <c r="L25" s="4" t="e">
        <f t="shared" si="13"/>
        <v>#DIV/0!</v>
      </c>
      <c r="M25" s="13"/>
      <c r="N25" s="4" t="e">
        <f t="shared" si="14"/>
        <v>#DIV/0!</v>
      </c>
      <c r="O25" s="13"/>
      <c r="P25" s="4" t="e">
        <f t="shared" si="15"/>
        <v>#DIV/0!</v>
      </c>
      <c r="Q25" s="13"/>
      <c r="R25" s="4" t="e">
        <f t="shared" si="16"/>
        <v>#DIV/0!</v>
      </c>
      <c r="S25" s="13">
        <f t="shared" si="9"/>
        <v>0</v>
      </c>
      <c r="T25" s="4" t="e">
        <f t="shared" si="17"/>
        <v>#DIV/0!</v>
      </c>
      <c r="U25" s="13"/>
      <c r="V25" s="24"/>
      <c r="W25" s="4" t="e">
        <f t="shared" si="18"/>
        <v>#DIV/0!</v>
      </c>
      <c r="X25" s="13"/>
      <c r="Y25" s="27"/>
      <c r="Z25" s="27"/>
    </row>
    <row r="26" spans="1:26">
      <c r="A26" s="21"/>
      <c r="B26" s="13" t="s">
        <v>47</v>
      </c>
      <c r="C26" s="15"/>
      <c r="D26" s="13"/>
      <c r="E26" s="13"/>
      <c r="F26" s="13"/>
      <c r="G26" s="13">
        <f t="shared" si="10"/>
        <v>0</v>
      </c>
      <c r="H26" s="4" t="e">
        <f t="shared" si="11"/>
        <v>#DIV/0!</v>
      </c>
      <c r="I26" s="13"/>
      <c r="J26" s="4" t="e">
        <f t="shared" si="12"/>
        <v>#DIV/0!</v>
      </c>
      <c r="K26" s="13"/>
      <c r="L26" s="4" t="e">
        <f t="shared" si="13"/>
        <v>#DIV/0!</v>
      </c>
      <c r="M26" s="13"/>
      <c r="N26" s="4" t="e">
        <f t="shared" si="14"/>
        <v>#DIV/0!</v>
      </c>
      <c r="O26" s="13"/>
      <c r="P26" s="4" t="e">
        <f t="shared" si="15"/>
        <v>#DIV/0!</v>
      </c>
      <c r="Q26" s="13"/>
      <c r="R26" s="4" t="e">
        <f t="shared" si="16"/>
        <v>#DIV/0!</v>
      </c>
      <c r="S26" s="13">
        <f t="shared" si="9"/>
        <v>0</v>
      </c>
      <c r="T26" s="4" t="e">
        <f t="shared" si="17"/>
        <v>#DIV/0!</v>
      </c>
      <c r="U26" s="13"/>
      <c r="V26" s="24"/>
      <c r="W26" s="4" t="e">
        <f t="shared" si="18"/>
        <v>#DIV/0!</v>
      </c>
      <c r="X26" s="13"/>
      <c r="Y26" s="27"/>
      <c r="Z26" s="27"/>
    </row>
    <row r="27" spans="1:26">
      <c r="A27" s="21"/>
      <c r="B27" s="13" t="s">
        <v>48</v>
      </c>
      <c r="C27" s="19"/>
      <c r="D27" s="20"/>
      <c r="E27" s="13"/>
      <c r="F27" s="13"/>
      <c r="G27" s="13">
        <f t="shared" si="10"/>
        <v>0</v>
      </c>
      <c r="H27" s="4" t="e">
        <f t="shared" si="11"/>
        <v>#DIV/0!</v>
      </c>
      <c r="I27" s="13"/>
      <c r="J27" s="4" t="e">
        <f t="shared" si="12"/>
        <v>#DIV/0!</v>
      </c>
      <c r="K27" s="13"/>
      <c r="L27" s="4" t="e">
        <f t="shared" si="13"/>
        <v>#DIV/0!</v>
      </c>
      <c r="M27" s="13"/>
      <c r="N27" s="4" t="e">
        <f t="shared" si="14"/>
        <v>#DIV/0!</v>
      </c>
      <c r="O27" s="13"/>
      <c r="P27" s="4" t="e">
        <f t="shared" si="15"/>
        <v>#DIV/0!</v>
      </c>
      <c r="Q27" s="13"/>
      <c r="R27" s="4" t="e">
        <f t="shared" si="16"/>
        <v>#DIV/0!</v>
      </c>
      <c r="S27" s="13">
        <f t="shared" si="9"/>
        <v>0</v>
      </c>
      <c r="T27" s="4" t="e">
        <f t="shared" si="17"/>
        <v>#DIV/0!</v>
      </c>
      <c r="U27" s="20"/>
      <c r="V27" s="24"/>
      <c r="W27" s="4" t="e">
        <f t="shared" si="18"/>
        <v>#DIV/0!</v>
      </c>
      <c r="X27" s="20"/>
      <c r="Y27" s="28"/>
      <c r="Z27" s="28"/>
    </row>
    <row r="28" spans="1:26">
      <c r="A28" s="21"/>
      <c r="B28" s="13" t="s">
        <v>49</v>
      </c>
      <c r="C28" s="19"/>
      <c r="D28" s="20"/>
      <c r="E28" s="13"/>
      <c r="F28" s="13"/>
      <c r="G28" s="13">
        <f t="shared" si="10"/>
        <v>0</v>
      </c>
      <c r="H28" s="4" t="e">
        <f t="shared" si="11"/>
        <v>#DIV/0!</v>
      </c>
      <c r="I28" s="13"/>
      <c r="J28" s="4" t="e">
        <f t="shared" si="12"/>
        <v>#DIV/0!</v>
      </c>
      <c r="K28" s="13"/>
      <c r="L28" s="4" t="e">
        <f t="shared" si="13"/>
        <v>#DIV/0!</v>
      </c>
      <c r="M28" s="13"/>
      <c r="N28" s="4" t="e">
        <f t="shared" si="14"/>
        <v>#DIV/0!</v>
      </c>
      <c r="O28" s="13"/>
      <c r="P28" s="4" t="e">
        <f t="shared" si="15"/>
        <v>#DIV/0!</v>
      </c>
      <c r="Q28" s="13"/>
      <c r="R28" s="4" t="e">
        <f t="shared" si="16"/>
        <v>#DIV/0!</v>
      </c>
      <c r="S28" s="13">
        <f t="shared" si="9"/>
        <v>0</v>
      </c>
      <c r="T28" s="4" t="e">
        <f t="shared" si="17"/>
        <v>#DIV/0!</v>
      </c>
      <c r="U28" s="13"/>
      <c r="V28" s="24"/>
      <c r="W28" s="4" t="e">
        <f t="shared" si="18"/>
        <v>#DIV/0!</v>
      </c>
      <c r="X28" s="13"/>
      <c r="Y28" s="27"/>
      <c r="Z28" s="27"/>
    </row>
    <row r="29" customHeight="1" spans="1:26">
      <c r="A29" s="18">
        <v>24</v>
      </c>
      <c r="B29" s="13" t="s">
        <v>50</v>
      </c>
      <c r="C29" s="15"/>
      <c r="D29" s="13"/>
      <c r="E29" s="13"/>
      <c r="F29" s="13"/>
      <c r="G29" s="13">
        <f t="shared" si="10"/>
        <v>0</v>
      </c>
      <c r="H29" s="4" t="e">
        <f t="shared" si="11"/>
        <v>#DIV/0!</v>
      </c>
      <c r="I29" s="13"/>
      <c r="J29" s="4" t="e">
        <f t="shared" si="12"/>
        <v>#DIV/0!</v>
      </c>
      <c r="K29" s="13"/>
      <c r="L29" s="4" t="e">
        <f t="shared" si="13"/>
        <v>#DIV/0!</v>
      </c>
      <c r="M29" s="13"/>
      <c r="N29" s="4" t="e">
        <f t="shared" si="14"/>
        <v>#DIV/0!</v>
      </c>
      <c r="O29" s="13"/>
      <c r="P29" s="4" t="e">
        <f t="shared" si="15"/>
        <v>#DIV/0!</v>
      </c>
      <c r="Q29" s="13"/>
      <c r="R29" s="4" t="e">
        <f t="shared" si="16"/>
        <v>#DIV/0!</v>
      </c>
      <c r="S29" s="13">
        <f t="shared" si="9"/>
        <v>0</v>
      </c>
      <c r="T29" s="4" t="e">
        <f t="shared" si="17"/>
        <v>#DIV/0!</v>
      </c>
      <c r="U29" s="13"/>
      <c r="V29" s="24"/>
      <c r="W29" s="4" t="e">
        <f t="shared" si="18"/>
        <v>#DIV/0!</v>
      </c>
      <c r="X29" s="13"/>
      <c r="Y29" s="27"/>
      <c r="Z29" s="27"/>
    </row>
    <row r="30" spans="1:26">
      <c r="A30" s="21"/>
      <c r="B30" s="13" t="s">
        <v>51</v>
      </c>
      <c r="C30" s="15"/>
      <c r="D30" s="13"/>
      <c r="E30" s="13"/>
      <c r="F30" s="13"/>
      <c r="G30" s="13">
        <f t="shared" si="10"/>
        <v>0</v>
      </c>
      <c r="H30" s="4" t="e">
        <f t="shared" si="11"/>
        <v>#DIV/0!</v>
      </c>
      <c r="I30" s="13"/>
      <c r="J30" s="4" t="e">
        <f t="shared" si="12"/>
        <v>#DIV/0!</v>
      </c>
      <c r="K30" s="13"/>
      <c r="L30" s="4" t="e">
        <f t="shared" si="13"/>
        <v>#DIV/0!</v>
      </c>
      <c r="M30" s="13"/>
      <c r="N30" s="4" t="e">
        <f t="shared" si="14"/>
        <v>#DIV/0!</v>
      </c>
      <c r="O30" s="13"/>
      <c r="P30" s="4" t="e">
        <f t="shared" si="15"/>
        <v>#DIV/0!</v>
      </c>
      <c r="Q30" s="13"/>
      <c r="R30" s="4" t="e">
        <f t="shared" si="16"/>
        <v>#DIV/0!</v>
      </c>
      <c r="S30" s="13">
        <f t="shared" si="9"/>
        <v>0</v>
      </c>
      <c r="T30" s="4" t="e">
        <f t="shared" si="17"/>
        <v>#DIV/0!</v>
      </c>
      <c r="U30" s="13"/>
      <c r="V30" s="24"/>
      <c r="W30" s="4" t="e">
        <f t="shared" si="18"/>
        <v>#DIV/0!</v>
      </c>
      <c r="X30" s="13"/>
      <c r="Y30" s="27"/>
      <c r="Z30" s="27"/>
    </row>
    <row r="31" customHeight="1" spans="1:26">
      <c r="A31" s="21"/>
      <c r="B31" s="13" t="s">
        <v>52</v>
      </c>
      <c r="C31" s="15"/>
      <c r="D31" s="13"/>
      <c r="E31" s="13"/>
      <c r="F31" s="13"/>
      <c r="G31" s="13">
        <f t="shared" si="10"/>
        <v>0</v>
      </c>
      <c r="H31" s="4" t="e">
        <f t="shared" si="11"/>
        <v>#DIV/0!</v>
      </c>
      <c r="I31" s="13"/>
      <c r="J31" s="4" t="e">
        <f t="shared" si="12"/>
        <v>#DIV/0!</v>
      </c>
      <c r="K31" s="13"/>
      <c r="L31" s="4" t="e">
        <f t="shared" si="13"/>
        <v>#DIV/0!</v>
      </c>
      <c r="M31" s="13"/>
      <c r="N31" s="4" t="e">
        <f t="shared" si="14"/>
        <v>#DIV/0!</v>
      </c>
      <c r="O31" s="13"/>
      <c r="P31" s="4" t="e">
        <f t="shared" si="15"/>
        <v>#DIV/0!</v>
      </c>
      <c r="Q31" s="13"/>
      <c r="R31" s="4" t="e">
        <f t="shared" si="16"/>
        <v>#DIV/0!</v>
      </c>
      <c r="S31" s="13">
        <f t="shared" si="9"/>
        <v>0</v>
      </c>
      <c r="T31" s="4" t="e">
        <f t="shared" si="17"/>
        <v>#DIV/0!</v>
      </c>
      <c r="U31" s="13"/>
      <c r="V31" s="24"/>
      <c r="W31" s="4" t="e">
        <f t="shared" si="18"/>
        <v>#DIV/0!</v>
      </c>
      <c r="X31" s="13"/>
      <c r="Y31" s="27"/>
      <c r="Z31" s="27"/>
    </row>
    <row r="32" customHeight="1" spans="1:26">
      <c r="A32" s="21"/>
      <c r="B32" s="13" t="s">
        <v>53</v>
      </c>
      <c r="C32" s="15"/>
      <c r="D32" s="13"/>
      <c r="E32" s="13"/>
      <c r="F32" s="13"/>
      <c r="G32" s="13">
        <f t="shared" si="10"/>
        <v>0</v>
      </c>
      <c r="H32" s="4" t="e">
        <f t="shared" si="11"/>
        <v>#DIV/0!</v>
      </c>
      <c r="I32" s="13"/>
      <c r="J32" s="4" t="e">
        <f t="shared" si="12"/>
        <v>#DIV/0!</v>
      </c>
      <c r="K32" s="13"/>
      <c r="L32" s="4" t="e">
        <f t="shared" si="13"/>
        <v>#DIV/0!</v>
      </c>
      <c r="M32" s="13"/>
      <c r="N32" s="4" t="e">
        <f t="shared" si="14"/>
        <v>#DIV/0!</v>
      </c>
      <c r="O32" s="13"/>
      <c r="P32" s="4" t="e">
        <f t="shared" si="15"/>
        <v>#DIV/0!</v>
      </c>
      <c r="Q32" s="13"/>
      <c r="R32" s="4" t="e">
        <f t="shared" si="16"/>
        <v>#DIV/0!</v>
      </c>
      <c r="S32" s="13">
        <f t="shared" si="9"/>
        <v>0</v>
      </c>
      <c r="T32" s="4" t="e">
        <f t="shared" si="17"/>
        <v>#DIV/0!</v>
      </c>
      <c r="U32" s="13"/>
      <c r="V32" s="24"/>
      <c r="W32" s="4" t="e">
        <f t="shared" si="18"/>
        <v>#DIV/0!</v>
      </c>
      <c r="X32" s="13"/>
      <c r="Y32" s="27"/>
      <c r="Z32" s="27"/>
    </row>
    <row r="33" customHeight="1" spans="1:26">
      <c r="A33" s="21"/>
      <c r="B33" s="13" t="s">
        <v>54</v>
      </c>
      <c r="C33" s="15"/>
      <c r="D33" s="13"/>
      <c r="E33" s="13"/>
      <c r="F33" s="13"/>
      <c r="G33" s="13">
        <f t="shared" si="10"/>
        <v>0</v>
      </c>
      <c r="H33" s="4" t="e">
        <f t="shared" si="11"/>
        <v>#DIV/0!</v>
      </c>
      <c r="I33" s="13"/>
      <c r="J33" s="4" t="e">
        <f t="shared" si="12"/>
        <v>#DIV/0!</v>
      </c>
      <c r="K33" s="13"/>
      <c r="L33" s="4" t="e">
        <f t="shared" si="13"/>
        <v>#DIV/0!</v>
      </c>
      <c r="M33" s="13"/>
      <c r="N33" s="4" t="e">
        <f t="shared" si="14"/>
        <v>#DIV/0!</v>
      </c>
      <c r="O33" s="13"/>
      <c r="P33" s="4" t="e">
        <f t="shared" si="15"/>
        <v>#DIV/0!</v>
      </c>
      <c r="Q33" s="13"/>
      <c r="R33" s="4" t="e">
        <f t="shared" si="16"/>
        <v>#DIV/0!</v>
      </c>
      <c r="S33" s="13">
        <f t="shared" si="9"/>
        <v>0</v>
      </c>
      <c r="T33" s="4" t="e">
        <f t="shared" si="17"/>
        <v>#DIV/0!</v>
      </c>
      <c r="U33" s="13"/>
      <c r="V33" s="24"/>
      <c r="W33" s="4" t="e">
        <f t="shared" si="18"/>
        <v>#DIV/0!</v>
      </c>
      <c r="X33" s="13"/>
      <c r="Y33" s="27"/>
      <c r="Z33" s="27"/>
    </row>
    <row r="34" ht="16.7" customHeight="1" spans="1:26">
      <c r="A34" s="21"/>
      <c r="B34" s="13" t="s">
        <v>55</v>
      </c>
      <c r="C34" s="15"/>
      <c r="D34" s="13"/>
      <c r="E34" s="13"/>
      <c r="F34" s="13"/>
      <c r="G34" s="13">
        <f t="shared" si="10"/>
        <v>0</v>
      </c>
      <c r="H34" s="4" t="e">
        <f t="shared" si="11"/>
        <v>#DIV/0!</v>
      </c>
      <c r="I34" s="13"/>
      <c r="J34" s="4" t="e">
        <f t="shared" si="12"/>
        <v>#DIV/0!</v>
      </c>
      <c r="K34" s="13"/>
      <c r="L34" s="4" t="e">
        <f t="shared" si="13"/>
        <v>#DIV/0!</v>
      </c>
      <c r="M34" s="13"/>
      <c r="N34" s="4" t="e">
        <f t="shared" si="14"/>
        <v>#DIV/0!</v>
      </c>
      <c r="O34" s="13"/>
      <c r="P34" s="4" t="e">
        <f t="shared" si="15"/>
        <v>#DIV/0!</v>
      </c>
      <c r="Q34" s="13"/>
      <c r="R34" s="4" t="e">
        <f t="shared" si="16"/>
        <v>#DIV/0!</v>
      </c>
      <c r="S34" s="13">
        <f t="shared" si="9"/>
        <v>0</v>
      </c>
      <c r="T34" s="4" t="e">
        <f t="shared" si="17"/>
        <v>#DIV/0!</v>
      </c>
      <c r="U34" s="13"/>
      <c r="V34" s="24"/>
      <c r="W34" s="4" t="e">
        <f t="shared" si="18"/>
        <v>#DIV/0!</v>
      </c>
      <c r="X34" s="13"/>
      <c r="Y34" s="27"/>
      <c r="Z34" s="27"/>
    </row>
    <row r="35" customHeight="1" spans="1:26">
      <c r="A35" s="21"/>
      <c r="B35" s="13" t="s">
        <v>56</v>
      </c>
      <c r="C35" s="15"/>
      <c r="D35" s="13"/>
      <c r="E35" s="13"/>
      <c r="F35" s="13"/>
      <c r="G35" s="13">
        <f t="shared" si="10"/>
        <v>0</v>
      </c>
      <c r="H35" s="4" t="e">
        <f t="shared" si="11"/>
        <v>#DIV/0!</v>
      </c>
      <c r="I35" s="13"/>
      <c r="J35" s="4" t="e">
        <f t="shared" si="12"/>
        <v>#DIV/0!</v>
      </c>
      <c r="K35" s="13"/>
      <c r="L35" s="4" t="e">
        <f t="shared" si="13"/>
        <v>#DIV/0!</v>
      </c>
      <c r="M35" s="13"/>
      <c r="N35" s="4" t="e">
        <f t="shared" si="14"/>
        <v>#DIV/0!</v>
      </c>
      <c r="O35" s="13"/>
      <c r="P35" s="4" t="e">
        <f t="shared" si="15"/>
        <v>#DIV/0!</v>
      </c>
      <c r="Q35" s="13"/>
      <c r="R35" s="4" t="e">
        <f t="shared" si="16"/>
        <v>#DIV/0!</v>
      </c>
      <c r="S35" s="13">
        <f t="shared" si="9"/>
        <v>0</v>
      </c>
      <c r="T35" s="4" t="e">
        <f t="shared" si="17"/>
        <v>#DIV/0!</v>
      </c>
      <c r="U35" s="13"/>
      <c r="V35" s="24"/>
      <c r="W35" s="4" t="e">
        <f t="shared" si="18"/>
        <v>#DIV/0!</v>
      </c>
      <c r="X35" s="13"/>
      <c r="Y35" s="27"/>
      <c r="Z35" s="27"/>
    </row>
    <row r="36" spans="1:26">
      <c r="A36" s="21"/>
      <c r="B36" s="13" t="s">
        <v>57</v>
      </c>
      <c r="C36" s="15"/>
      <c r="D36" s="13"/>
      <c r="E36" s="13"/>
      <c r="F36" s="13"/>
      <c r="G36" s="13">
        <f t="shared" si="10"/>
        <v>0</v>
      </c>
      <c r="H36" s="4" t="e">
        <f t="shared" si="11"/>
        <v>#DIV/0!</v>
      </c>
      <c r="I36" s="13"/>
      <c r="J36" s="4" t="e">
        <f t="shared" si="12"/>
        <v>#DIV/0!</v>
      </c>
      <c r="K36" s="13"/>
      <c r="L36" s="4" t="e">
        <f t="shared" si="13"/>
        <v>#DIV/0!</v>
      </c>
      <c r="M36" s="13"/>
      <c r="N36" s="4" t="e">
        <f t="shared" si="14"/>
        <v>#DIV/0!</v>
      </c>
      <c r="O36" s="13"/>
      <c r="P36" s="4" t="e">
        <f t="shared" si="15"/>
        <v>#DIV/0!</v>
      </c>
      <c r="Q36" s="13"/>
      <c r="R36" s="4" t="e">
        <f t="shared" si="16"/>
        <v>#DIV/0!</v>
      </c>
      <c r="S36" s="13">
        <f t="shared" si="9"/>
        <v>0</v>
      </c>
      <c r="T36" s="4" t="e">
        <f t="shared" si="17"/>
        <v>#DIV/0!</v>
      </c>
      <c r="U36" s="13"/>
      <c r="V36" s="24"/>
      <c r="W36" s="4" t="e">
        <f t="shared" si="18"/>
        <v>#DIV/0!</v>
      </c>
      <c r="X36" s="13"/>
      <c r="Y36" s="27"/>
      <c r="Z36" s="27"/>
    </row>
    <row r="37" spans="1:26">
      <c r="A37" s="21"/>
      <c r="B37" s="13" t="s">
        <v>58</v>
      </c>
      <c r="C37" s="15"/>
      <c r="D37" s="13"/>
      <c r="E37" s="13"/>
      <c r="F37" s="13"/>
      <c r="G37" s="13">
        <f t="shared" si="10"/>
        <v>0</v>
      </c>
      <c r="H37" s="4" t="e">
        <f t="shared" si="11"/>
        <v>#DIV/0!</v>
      </c>
      <c r="I37" s="13"/>
      <c r="J37" s="4" t="e">
        <f t="shared" si="12"/>
        <v>#DIV/0!</v>
      </c>
      <c r="K37" s="13"/>
      <c r="L37" s="4" t="e">
        <f t="shared" si="13"/>
        <v>#DIV/0!</v>
      </c>
      <c r="M37" s="13"/>
      <c r="N37" s="4" t="e">
        <f t="shared" si="14"/>
        <v>#DIV/0!</v>
      </c>
      <c r="O37" s="13"/>
      <c r="P37" s="4" t="e">
        <f t="shared" si="15"/>
        <v>#DIV/0!</v>
      </c>
      <c r="Q37" s="13"/>
      <c r="R37" s="4" t="e">
        <f t="shared" si="16"/>
        <v>#DIV/0!</v>
      </c>
      <c r="S37" s="13">
        <f t="shared" si="9"/>
        <v>0</v>
      </c>
      <c r="T37" s="4" t="e">
        <f t="shared" si="17"/>
        <v>#DIV/0!</v>
      </c>
      <c r="U37" s="13"/>
      <c r="V37" s="24"/>
      <c r="W37" s="4" t="e">
        <f t="shared" si="18"/>
        <v>#DIV/0!</v>
      </c>
      <c r="X37" s="13"/>
      <c r="Y37" s="27"/>
      <c r="Z37" s="27"/>
    </row>
    <row r="38" spans="1:26">
      <c r="A38" s="21"/>
      <c r="B38" s="13" t="s">
        <v>59</v>
      </c>
      <c r="C38" s="15"/>
      <c r="D38" s="13"/>
      <c r="E38" s="13"/>
      <c r="F38" s="13"/>
      <c r="G38" s="13">
        <f t="shared" si="10"/>
        <v>0</v>
      </c>
      <c r="H38" s="4" t="e">
        <f t="shared" si="11"/>
        <v>#DIV/0!</v>
      </c>
      <c r="I38" s="13"/>
      <c r="J38" s="4" t="e">
        <f t="shared" si="12"/>
        <v>#DIV/0!</v>
      </c>
      <c r="K38" s="13"/>
      <c r="L38" s="4" t="e">
        <f t="shared" si="13"/>
        <v>#DIV/0!</v>
      </c>
      <c r="M38" s="13"/>
      <c r="N38" s="4" t="e">
        <f t="shared" si="14"/>
        <v>#DIV/0!</v>
      </c>
      <c r="O38" s="13"/>
      <c r="P38" s="4" t="e">
        <f t="shared" si="15"/>
        <v>#DIV/0!</v>
      </c>
      <c r="Q38" s="13"/>
      <c r="R38" s="4" t="e">
        <f t="shared" si="16"/>
        <v>#DIV/0!</v>
      </c>
      <c r="S38" s="13">
        <f t="shared" si="9"/>
        <v>0</v>
      </c>
      <c r="T38" s="4" t="e">
        <f t="shared" si="17"/>
        <v>#DIV/0!</v>
      </c>
      <c r="U38" s="13"/>
      <c r="V38" s="24"/>
      <c r="W38" s="4" t="e">
        <f t="shared" si="18"/>
        <v>#DIV/0!</v>
      </c>
      <c r="X38" s="13"/>
      <c r="Y38" s="27"/>
      <c r="Z38" s="27"/>
    </row>
    <row r="39" spans="1:26">
      <c r="A39" s="21"/>
      <c r="B39" s="13" t="s">
        <v>60</v>
      </c>
      <c r="C39" s="15"/>
      <c r="D39" s="13"/>
      <c r="E39" s="13"/>
      <c r="F39" s="13"/>
      <c r="G39" s="13">
        <f t="shared" si="10"/>
        <v>0</v>
      </c>
      <c r="H39" s="4" t="e">
        <f t="shared" si="11"/>
        <v>#DIV/0!</v>
      </c>
      <c r="I39" s="13"/>
      <c r="J39" s="4" t="e">
        <f t="shared" si="12"/>
        <v>#DIV/0!</v>
      </c>
      <c r="K39" s="13"/>
      <c r="L39" s="4" t="e">
        <f t="shared" si="13"/>
        <v>#DIV/0!</v>
      </c>
      <c r="M39" s="13"/>
      <c r="N39" s="4" t="e">
        <f t="shared" si="14"/>
        <v>#DIV/0!</v>
      </c>
      <c r="O39" s="13"/>
      <c r="P39" s="4" t="e">
        <f t="shared" si="15"/>
        <v>#DIV/0!</v>
      </c>
      <c r="Q39" s="13"/>
      <c r="R39" s="4" t="e">
        <f t="shared" si="16"/>
        <v>#DIV/0!</v>
      </c>
      <c r="S39" s="13">
        <f t="shared" si="9"/>
        <v>0</v>
      </c>
      <c r="T39" s="4" t="e">
        <f t="shared" si="17"/>
        <v>#DIV/0!</v>
      </c>
      <c r="U39" s="13"/>
      <c r="V39" s="24"/>
      <c r="W39" s="4" t="e">
        <f t="shared" si="18"/>
        <v>#DIV/0!</v>
      </c>
      <c r="X39" s="13"/>
      <c r="Y39" s="27"/>
      <c r="Z39" s="27"/>
    </row>
    <row r="40" spans="1:26">
      <c r="A40" s="21"/>
      <c r="B40" s="13" t="s">
        <v>61</v>
      </c>
      <c r="C40" s="15"/>
      <c r="D40" s="13"/>
      <c r="E40" s="13"/>
      <c r="F40" s="13"/>
      <c r="G40" s="13">
        <f t="shared" si="10"/>
        <v>0</v>
      </c>
      <c r="H40" s="4" t="e">
        <f t="shared" si="11"/>
        <v>#DIV/0!</v>
      </c>
      <c r="I40" s="13"/>
      <c r="J40" s="4" t="e">
        <f t="shared" si="12"/>
        <v>#DIV/0!</v>
      </c>
      <c r="K40" s="13"/>
      <c r="L40" s="4" t="e">
        <f t="shared" si="13"/>
        <v>#DIV/0!</v>
      </c>
      <c r="M40" s="13"/>
      <c r="N40" s="4" t="e">
        <f t="shared" si="14"/>
        <v>#DIV/0!</v>
      </c>
      <c r="O40" s="13"/>
      <c r="P40" s="4" t="e">
        <f t="shared" si="15"/>
        <v>#DIV/0!</v>
      </c>
      <c r="Q40" s="13"/>
      <c r="R40" s="4" t="e">
        <f t="shared" si="16"/>
        <v>#DIV/0!</v>
      </c>
      <c r="S40" s="13">
        <f t="shared" si="9"/>
        <v>0</v>
      </c>
      <c r="T40" s="4" t="e">
        <f t="shared" si="17"/>
        <v>#DIV/0!</v>
      </c>
      <c r="U40" s="13"/>
      <c r="V40" s="24"/>
      <c r="W40" s="4" t="e">
        <f t="shared" si="18"/>
        <v>#DIV/0!</v>
      </c>
      <c r="X40" s="13"/>
      <c r="Y40" s="27"/>
      <c r="Z40" s="27"/>
    </row>
    <row r="41" spans="1:26">
      <c r="A41" s="10"/>
      <c r="B41" s="13" t="s">
        <v>62</v>
      </c>
      <c r="C41" s="15"/>
      <c r="D41" s="13"/>
      <c r="E41" s="13"/>
      <c r="F41" s="13"/>
      <c r="G41" s="13">
        <f t="shared" si="10"/>
        <v>0</v>
      </c>
      <c r="H41" s="4" t="e">
        <f t="shared" si="11"/>
        <v>#DIV/0!</v>
      </c>
      <c r="I41" s="13"/>
      <c r="J41" s="4" t="e">
        <f t="shared" si="12"/>
        <v>#DIV/0!</v>
      </c>
      <c r="K41" s="13"/>
      <c r="L41" s="4" t="e">
        <f t="shared" si="13"/>
        <v>#DIV/0!</v>
      </c>
      <c r="M41" s="13"/>
      <c r="N41" s="4" t="e">
        <f t="shared" si="14"/>
        <v>#DIV/0!</v>
      </c>
      <c r="O41" s="13"/>
      <c r="P41" s="4" t="e">
        <f t="shared" si="15"/>
        <v>#DIV/0!</v>
      </c>
      <c r="Q41" s="13"/>
      <c r="R41" s="4" t="e">
        <f t="shared" si="16"/>
        <v>#DIV/0!</v>
      </c>
      <c r="S41" s="13">
        <f t="shared" si="9"/>
        <v>0</v>
      </c>
      <c r="T41" s="4" t="e">
        <f t="shared" si="17"/>
        <v>#DIV/0!</v>
      </c>
      <c r="U41" s="13"/>
      <c r="V41" s="24"/>
      <c r="W41" s="4" t="e">
        <f t="shared" si="18"/>
        <v>#DIV/0!</v>
      </c>
      <c r="X41" s="13"/>
      <c r="Y41" s="27"/>
      <c r="Z41" s="27"/>
    </row>
    <row r="42" spans="25:25">
      <c r="Y42" s="29"/>
    </row>
    <row r="43" spans="25:25">
      <c r="Y43" s="29"/>
    </row>
    <row r="44" spans="25:25">
      <c r="Y44" s="29"/>
    </row>
    <row r="45" spans="25:25">
      <c r="Y45" s="29"/>
    </row>
    <row r="46" spans="25:25">
      <c r="Y46" s="29"/>
    </row>
    <row r="47" spans="25:25">
      <c r="Y47" s="29"/>
    </row>
    <row r="48" spans="25:25">
      <c r="Y48" s="29"/>
    </row>
    <row r="49" spans="25:25">
      <c r="Y49" s="29"/>
    </row>
    <row r="50" spans="25:25">
      <c r="Y50" s="29"/>
    </row>
    <row r="51" spans="25:25">
      <c r="Y51" s="29"/>
    </row>
    <row r="52" spans="25:25">
      <c r="Y52" s="29"/>
    </row>
    <row r="53" spans="25:25">
      <c r="Y53" s="29"/>
    </row>
    <row r="54" spans="25:25">
      <c r="Y54" s="29"/>
    </row>
    <row r="55" spans="25:25">
      <c r="Y55" s="29"/>
    </row>
    <row r="56" spans="25:25">
      <c r="Y56" s="29"/>
    </row>
    <row r="57" spans="25:25">
      <c r="Y57" s="29"/>
    </row>
    <row r="58" spans="25:25">
      <c r="Y58" s="29"/>
    </row>
    <row r="59" spans="25:25">
      <c r="Y59" s="29"/>
    </row>
    <row r="60" spans="25:25">
      <c r="Y60" s="29"/>
    </row>
    <row r="61" spans="25:25">
      <c r="Y61" s="29"/>
    </row>
    <row r="62" spans="25:25">
      <c r="Y62" s="29"/>
    </row>
    <row r="63" spans="25:25">
      <c r="Y63" s="29"/>
    </row>
    <row r="64" spans="25:25">
      <c r="Y64"/>
    </row>
  </sheetData>
  <mergeCells count="8">
    <mergeCell ref="A1:Z1"/>
    <mergeCell ref="A2:D2"/>
    <mergeCell ref="E2:L2"/>
    <mergeCell ref="M2:T2"/>
    <mergeCell ref="U2:Z2"/>
    <mergeCell ref="A4:A15"/>
    <mergeCell ref="A16:A28"/>
    <mergeCell ref="A29:A41"/>
  </mergeCells>
  <pageMargins left="0.75" right="0.75" top="1" bottom="1" header="0.509027777777778" footer="0.509027777777778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workbookViewId="0">
      <selection activeCell="A2" sqref="A2"/>
    </sheetView>
  </sheetViews>
  <sheetFormatPr defaultColWidth="9" defaultRowHeight="15" outlineLevelCol="1"/>
  <cols>
    <col min="1" max="1" width="14.5" customWidth="1"/>
  </cols>
  <sheetData>
    <row r="1" spans="1:2">
      <c r="A1" s="1" t="s">
        <v>6</v>
      </c>
      <c r="B1" s="2" t="s">
        <v>12</v>
      </c>
    </row>
    <row r="2" spans="1:2">
      <c r="A2" s="6" t="e" cm="1">
        <f t="array" ref="A2">INDEX(原始数据!B:B,SMALL(IF(原始数据!H$4:H$41=B2,ROW(B$4:B$41),4^8),COUNTIF(B$2:B2,B2)))</f>
        <v>#DIV/0!</v>
      </c>
      <c r="B2" s="2" t="e">
        <f>LARGE(原始数据!$H$4:$H$41,ROW(B1))</f>
        <v>#DIV/0!</v>
      </c>
    </row>
    <row r="3" spans="1:2">
      <c r="A3" s="6" t="e" cm="1">
        <f t="array" ref="A3">INDEX(原始数据!B:B,SMALL(IF(原始数据!H$4:H$41=B3,ROW(B$4:B$41),4^8),COUNTIF(B$2:B3,B3)))</f>
        <v>#DIV/0!</v>
      </c>
      <c r="B3" s="2" t="e">
        <f>LARGE(原始数据!$H$4:$H$41,ROW(B2))</f>
        <v>#DIV/0!</v>
      </c>
    </row>
    <row r="4" spans="1:2">
      <c r="A4" s="6" t="e" cm="1">
        <f t="array" ref="A4">INDEX(原始数据!B:B,SMALL(IF(原始数据!H$4:H$41=B4,ROW(B$4:B$41),4^8),COUNTIF(B$2:B4,B4)))</f>
        <v>#DIV/0!</v>
      </c>
      <c r="B4" s="2" t="e">
        <f>LARGE(原始数据!$H$4:$H$41,ROW(B3))</f>
        <v>#DIV/0!</v>
      </c>
    </row>
    <row r="5" spans="1:2">
      <c r="A5" s="6" t="e" cm="1">
        <f t="array" ref="A5">INDEX(原始数据!B:B,SMALL(IF(原始数据!H$4:H$41=B5,ROW(B$4:B$41),4^8),COUNTIF(B$2:B5,B5)))</f>
        <v>#DIV/0!</v>
      </c>
      <c r="B5" s="2" t="e">
        <f>LARGE(原始数据!$H$4:$H$41,ROW(B4))</f>
        <v>#DIV/0!</v>
      </c>
    </row>
    <row r="6" spans="1:2">
      <c r="A6" s="6" t="e" cm="1">
        <f t="array" ref="A6">INDEX(原始数据!B:B,SMALL(IF(原始数据!H$4:H$41=B6,ROW(B$4:B$41),4^8),COUNTIF(B$2:B6,B6)))</f>
        <v>#DIV/0!</v>
      </c>
      <c r="B6" s="2" t="e">
        <f>LARGE(原始数据!$H$4:$H$41,ROW(B5))</f>
        <v>#DIV/0!</v>
      </c>
    </row>
    <row r="7" spans="1:2">
      <c r="A7" s="6" t="e" cm="1">
        <f t="array" ref="A7">INDEX(原始数据!B:B,SMALL(IF(原始数据!H$4:H$41=B7,ROW(B$4:B$41),4^8),COUNTIF(B$2:B7,B7)))</f>
        <v>#DIV/0!</v>
      </c>
      <c r="B7" s="2" t="e">
        <f>LARGE(原始数据!$H$4:$H$41,ROW(B6))</f>
        <v>#DIV/0!</v>
      </c>
    </row>
    <row r="8" spans="1:2">
      <c r="A8" s="6" t="e" cm="1">
        <f t="array" ref="A8">INDEX(原始数据!B:B,SMALL(IF(原始数据!H$4:H$41=B8,ROW(B$4:B$41),4^8),COUNTIF(B$2:B8,B8)))</f>
        <v>#DIV/0!</v>
      </c>
      <c r="B8" s="2" t="e">
        <f>LARGE(原始数据!$H$4:$H$41,ROW(B7))</f>
        <v>#DIV/0!</v>
      </c>
    </row>
    <row r="9" spans="1:2">
      <c r="A9" s="6" t="e" cm="1">
        <f t="array" ref="A9">INDEX(原始数据!B:B,SMALL(IF(原始数据!H$4:H$41=B9,ROW(B$4:B$41),4^8),COUNTIF(B$2:B9,B9)))</f>
        <v>#DIV/0!</v>
      </c>
      <c r="B9" s="2" t="e">
        <f>LARGE(原始数据!$H$4:$H$41,ROW(B8))</f>
        <v>#DIV/0!</v>
      </c>
    </row>
    <row r="10" spans="1:2">
      <c r="A10" s="6" t="e" cm="1">
        <f t="array" ref="A10">INDEX(原始数据!B:B,SMALL(IF(原始数据!H$4:H$41=B10,ROW(B$4:B$41),4^8),COUNTIF(B$2:B10,B10)))</f>
        <v>#DIV/0!</v>
      </c>
      <c r="B10" s="2" t="e">
        <f>LARGE(原始数据!$H$4:$H$41,ROW(B9))</f>
        <v>#DIV/0!</v>
      </c>
    </row>
    <row r="11" spans="1:2">
      <c r="A11" s="6" t="e" cm="1">
        <f t="array" ref="A11">INDEX(原始数据!B:B,SMALL(IF(原始数据!H$4:H$41=B11,ROW(B$4:B$41),4^8),COUNTIF(B$2:B11,B11)))</f>
        <v>#DIV/0!</v>
      </c>
      <c r="B11" s="2" t="e">
        <f>LARGE(原始数据!$H$4:$H$41,ROW(B10))</f>
        <v>#DIV/0!</v>
      </c>
    </row>
    <row r="12" spans="1:2">
      <c r="A12" s="6" t="e" cm="1">
        <f t="array" ref="A12">INDEX(原始数据!B:B,SMALL(IF(原始数据!H$4:H$41=B12,ROW(B$4:B$41),4^8),COUNTIF(B$2:B12,B12)))</f>
        <v>#DIV/0!</v>
      </c>
      <c r="B12" s="2" t="e">
        <f>LARGE(原始数据!$H$4:$H$41,ROW(B11))</f>
        <v>#DIV/0!</v>
      </c>
    </row>
    <row r="13" spans="1:2">
      <c r="A13" s="6" t="e" cm="1">
        <f t="array" ref="A13">INDEX(原始数据!B:B,SMALL(IF(原始数据!H$4:H$41=B13,ROW(B$4:B$41),4^8),COUNTIF(B$2:B13,B13)))</f>
        <v>#DIV/0!</v>
      </c>
      <c r="B13" s="2" t="e">
        <f>LARGE(原始数据!$H$4:$H$41,ROW(B12))</f>
        <v>#DIV/0!</v>
      </c>
    </row>
    <row r="14" spans="1:2">
      <c r="A14" s="6" t="e" cm="1">
        <f t="array" ref="A14">INDEX(原始数据!B:B,SMALL(IF(原始数据!H$4:H$41=B14,ROW(B$4:B$41),4^8),COUNTIF(B$2:B14,B14)))</f>
        <v>#DIV/0!</v>
      </c>
      <c r="B14" s="2" t="e">
        <f>LARGE(原始数据!$H$4:$H$41,ROW(B13))</f>
        <v>#DIV/0!</v>
      </c>
    </row>
    <row r="15" spans="1:2">
      <c r="A15" s="6" t="e" cm="1">
        <f t="array" ref="A15">INDEX(原始数据!B:B,SMALL(IF(原始数据!H$4:H$41=B15,ROW(B$4:B$41),4^8),COUNTIF(B$2:B15,B15)))</f>
        <v>#DIV/0!</v>
      </c>
      <c r="B15" s="2" t="e">
        <f>LARGE(原始数据!$H$4:$H$41,ROW(B14))</f>
        <v>#DIV/0!</v>
      </c>
    </row>
    <row r="16" spans="1:2">
      <c r="A16" s="6" t="e" cm="1">
        <f t="array" ref="A16">INDEX(原始数据!B:B,SMALL(IF(原始数据!H$4:H$41=B16,ROW(B$4:B$41),4^8),COUNTIF(B$2:B16,B16)))</f>
        <v>#DIV/0!</v>
      </c>
      <c r="B16" s="2" t="e">
        <f>LARGE(原始数据!$H$4:$H$41,ROW(B15))</f>
        <v>#DIV/0!</v>
      </c>
    </row>
    <row r="17" spans="1:2">
      <c r="A17" s="6" t="e" cm="1">
        <f t="array" ref="A17">INDEX(原始数据!B:B,SMALL(IF(原始数据!H$4:H$41=B17,ROW(B$4:B$41),4^8),COUNTIF(B$2:B17,B17)))</f>
        <v>#DIV/0!</v>
      </c>
      <c r="B17" s="2" t="e">
        <f>LARGE(原始数据!$H$4:$H$41,ROW(B16))</f>
        <v>#DIV/0!</v>
      </c>
    </row>
    <row r="18" spans="1:2">
      <c r="A18" s="6" t="e" cm="1">
        <f t="array" ref="A18">INDEX(原始数据!B:B,SMALL(IF(原始数据!H$4:H$41=B18,ROW(B$4:B$41),4^8),COUNTIF(B$2:B18,B18)))</f>
        <v>#DIV/0!</v>
      </c>
      <c r="B18" s="2" t="e">
        <f>LARGE(原始数据!$H$4:$H$41,ROW(B17))</f>
        <v>#DIV/0!</v>
      </c>
    </row>
    <row r="19" spans="1:2">
      <c r="A19" s="6" t="e" cm="1">
        <f t="array" ref="A19">INDEX(原始数据!B:B,SMALL(IF(原始数据!H$4:H$41=B19,ROW(B$4:B$41),4^8),COUNTIF(B$2:B19,B19)))</f>
        <v>#DIV/0!</v>
      </c>
      <c r="B19" s="2" t="e">
        <f>LARGE(原始数据!$H$4:$H$41,ROW(B18))</f>
        <v>#DIV/0!</v>
      </c>
    </row>
    <row r="20" spans="1:2">
      <c r="A20" s="6" t="e" cm="1">
        <f t="array" ref="A20">INDEX(原始数据!B:B,SMALL(IF(原始数据!H$4:H$41=B20,ROW(B$4:B$41),4^8),COUNTIF(B$2:B20,B20)))</f>
        <v>#DIV/0!</v>
      </c>
      <c r="B20" s="2" t="e">
        <f>LARGE(原始数据!$H$4:$H$41,ROW(B19))</f>
        <v>#DIV/0!</v>
      </c>
    </row>
    <row r="21" spans="1:2">
      <c r="A21" s="6" t="e" cm="1">
        <f t="array" ref="A21">INDEX(原始数据!B:B,SMALL(IF(原始数据!H$4:H$41=B21,ROW(B$4:B$41),4^8),COUNTIF(B$2:B21,B21)))</f>
        <v>#DIV/0!</v>
      </c>
      <c r="B21" s="2" t="e">
        <f>LARGE(原始数据!$H$4:$H$41,ROW(B20))</f>
        <v>#DIV/0!</v>
      </c>
    </row>
    <row r="22" spans="1:2">
      <c r="A22" s="6" t="e" cm="1">
        <f t="array" ref="A22">INDEX(原始数据!B:B,SMALL(IF(原始数据!H$4:H$41=B22,ROW(B$4:B$41),4^8),COUNTIF(B$2:B22,B22)))</f>
        <v>#DIV/0!</v>
      </c>
      <c r="B22" s="2" t="e">
        <f>LARGE(原始数据!$H$4:$H$41,ROW(B21))</f>
        <v>#DIV/0!</v>
      </c>
    </row>
    <row r="23" spans="1:2">
      <c r="A23" s="6" t="e" cm="1">
        <f t="array" ref="A23">INDEX(原始数据!B:B,SMALL(IF(原始数据!H$4:H$41=B23,ROW(B$4:B$41),4^8),COUNTIF(B$2:B23,B23)))</f>
        <v>#DIV/0!</v>
      </c>
      <c r="B23" s="2" t="e">
        <f>LARGE(原始数据!$H$4:$H$41,ROW(B22))</f>
        <v>#DIV/0!</v>
      </c>
    </row>
    <row r="24" spans="1:2">
      <c r="A24" s="6" t="e" cm="1">
        <f t="array" ref="A24">INDEX(原始数据!B:B,SMALL(IF(原始数据!H$4:H$41=B24,ROW(B$4:B$41),4^8),COUNTIF(B$2:B24,B24)))</f>
        <v>#DIV/0!</v>
      </c>
      <c r="B24" s="2" t="e">
        <f>LARGE(原始数据!$H$4:$H$41,ROW(B23))</f>
        <v>#DIV/0!</v>
      </c>
    </row>
    <row r="25" spans="1:2">
      <c r="A25" s="6" t="e" cm="1">
        <f t="array" ref="A25">INDEX(原始数据!B:B,SMALL(IF(原始数据!H$4:H$41=B25,ROW(B$4:B$41),4^8),COUNTIF(B$2:B25,B25)))</f>
        <v>#DIV/0!</v>
      </c>
      <c r="B25" s="2" t="e">
        <f>LARGE(原始数据!$H$4:$H$41,ROW(B24))</f>
        <v>#DIV/0!</v>
      </c>
    </row>
    <row r="26" spans="1:2">
      <c r="A26" s="6" t="e" cm="1">
        <f t="array" ref="A26">INDEX(原始数据!B:B,SMALL(IF(原始数据!H$4:H$41=B26,ROW(B$4:B$41),4^8),COUNTIF(B$2:B26,B26)))</f>
        <v>#DIV/0!</v>
      </c>
      <c r="B26" s="2" t="e">
        <f>LARGE(原始数据!$H$4:$H$41,ROW(B25))</f>
        <v>#DIV/0!</v>
      </c>
    </row>
    <row r="27" spans="1:2">
      <c r="A27" s="6" t="e" cm="1">
        <f t="array" ref="A27">INDEX(原始数据!B:B,SMALL(IF(原始数据!H$4:H$41=B27,ROW(B$4:B$41),4^8),COUNTIF(B$2:B27,B27)))</f>
        <v>#DIV/0!</v>
      </c>
      <c r="B27" s="2" t="e">
        <f>LARGE(原始数据!$H$4:$H$41,ROW(B26))</f>
        <v>#DIV/0!</v>
      </c>
    </row>
    <row r="28" spans="1:2">
      <c r="A28" s="6" t="e" cm="1">
        <f t="array" ref="A28">INDEX(原始数据!B:B,SMALL(IF(原始数据!H$4:H$41=B28,ROW(B$4:B$41),4^8),COUNTIF(B$2:B28,B28)))</f>
        <v>#DIV/0!</v>
      </c>
      <c r="B28" s="2" t="e">
        <f>LARGE(原始数据!$H$4:$H$41,ROW(B27))</f>
        <v>#DIV/0!</v>
      </c>
    </row>
    <row r="29" spans="1:2">
      <c r="A29" s="6" t="e" cm="1">
        <f t="array" ref="A29">INDEX(原始数据!B:B,SMALL(IF(原始数据!H$4:H$41=B29,ROW(B$4:B$41),4^8),COUNTIF(B$2:B29,B29)))</f>
        <v>#DIV/0!</v>
      </c>
      <c r="B29" s="2" t="e">
        <f>LARGE(原始数据!$H$4:$H$41,ROW(B28))</f>
        <v>#DIV/0!</v>
      </c>
    </row>
    <row r="30" spans="1:2">
      <c r="A30" s="6" t="e" cm="1">
        <f t="array" ref="A30">INDEX(原始数据!B:B,SMALL(IF(原始数据!H$4:H$41=B30,ROW(B$4:B$41),4^8),COUNTIF(B$2:B30,B30)))</f>
        <v>#DIV/0!</v>
      </c>
      <c r="B30" s="2" t="e">
        <f>LARGE(原始数据!$H$4:$H$41,ROW(B29))</f>
        <v>#DIV/0!</v>
      </c>
    </row>
    <row r="31" spans="1:2">
      <c r="A31" s="6" t="e" cm="1">
        <f t="array" ref="A31">INDEX(原始数据!B:B,SMALL(IF(原始数据!H$4:H$41=B31,ROW(B$4:B$41),4^8),COUNTIF(B$2:B31,B31)))</f>
        <v>#DIV/0!</v>
      </c>
      <c r="B31" s="2" t="e">
        <f>LARGE(原始数据!$H$4:$H$41,ROW(B30))</f>
        <v>#DIV/0!</v>
      </c>
    </row>
    <row r="32" spans="1:2">
      <c r="A32" s="6" t="e" cm="1">
        <f t="array" ref="A32">INDEX(原始数据!B:B,SMALL(IF(原始数据!H$4:H$41=B32,ROW(B$4:B$41),4^8),COUNTIF(B$2:B32,B32)))</f>
        <v>#DIV/0!</v>
      </c>
      <c r="B32" s="2" t="e">
        <f>LARGE(原始数据!$H$4:$H$41,ROW(B31))</f>
        <v>#DIV/0!</v>
      </c>
    </row>
    <row r="33" spans="1:2">
      <c r="A33" s="6" t="e" cm="1">
        <f t="array" ref="A33">INDEX(原始数据!B:B,SMALL(IF(原始数据!H$4:H$41=B33,ROW(B$4:B$41),4^8),COUNTIF(B$2:B33,B33)))</f>
        <v>#DIV/0!</v>
      </c>
      <c r="B33" s="2" t="e">
        <f>LARGE(原始数据!$H$4:$H$41,ROW(B32))</f>
        <v>#DIV/0!</v>
      </c>
    </row>
    <row r="34" spans="1:2">
      <c r="A34" s="6" t="e" cm="1">
        <f t="array" ref="A34">INDEX(原始数据!B:B,SMALL(IF(原始数据!H$4:H$41=B34,ROW(B$4:B$41),4^8),COUNTIF(B$2:B34,B34)))</f>
        <v>#DIV/0!</v>
      </c>
      <c r="B34" s="2" t="e">
        <f>LARGE(原始数据!$H$4:$H$41,ROW(B33))</f>
        <v>#DIV/0!</v>
      </c>
    </row>
    <row r="35" spans="1:2">
      <c r="A35" s="6" t="e" cm="1">
        <f t="array" ref="A35">INDEX(原始数据!B:B,SMALL(IF(原始数据!H$4:H$41=B35,ROW(B$4:B$41),4^8),COUNTIF(B$2:B35,B35)))</f>
        <v>#DIV/0!</v>
      </c>
      <c r="B35" s="2" t="e">
        <f>LARGE(原始数据!$H$4:$H$41,ROW(B34))</f>
        <v>#DIV/0!</v>
      </c>
    </row>
    <row r="36" spans="1:2">
      <c r="A36" s="6" t="e" cm="1">
        <f t="array" ref="A36">INDEX(原始数据!B:B,SMALL(IF(原始数据!H$4:H$41=B36,ROW(B$4:B$41),4^8),COUNTIF(B$2:B36,B36)))</f>
        <v>#DIV/0!</v>
      </c>
      <c r="B36" s="2" t="e">
        <f>LARGE(原始数据!$H$4:$H$41,ROW(B35))</f>
        <v>#DIV/0!</v>
      </c>
    </row>
    <row r="37" spans="1:2">
      <c r="A37" s="6" t="e" cm="1">
        <f t="array" ref="A37">INDEX(原始数据!B:B,SMALL(IF(原始数据!H$4:H$41=B37,ROW(B$4:B$41),4^8),COUNTIF(B$2:B37,B37)))</f>
        <v>#DIV/0!</v>
      </c>
      <c r="B37" s="2" t="e">
        <f>LARGE(原始数据!$H$4:$H$41,ROW(B36))</f>
        <v>#DIV/0!</v>
      </c>
    </row>
    <row r="38" spans="1:2">
      <c r="A38" s="6" t="e" cm="1">
        <f t="array" ref="A38">INDEX(原始数据!B:B,SMALL(IF(原始数据!H$4:H$41=B38,ROW(B$4:B$41),4^8),COUNTIF(B$2:B38,B38)))</f>
        <v>#DIV/0!</v>
      </c>
      <c r="B38" s="2" t="e">
        <f>LARGE(原始数据!$H$4:$H$41,ROW(B37))</f>
        <v>#DIV/0!</v>
      </c>
    </row>
    <row r="39" spans="1:2">
      <c r="A39" s="6" t="e" cm="1">
        <f t="array" ref="A39">INDEX(原始数据!B:B,SMALL(IF(原始数据!H$4:H$41=B39,ROW(B$4:B$41),4^8),COUNTIF(B$2:B39,B39)))</f>
        <v>#DIV/0!</v>
      </c>
      <c r="B39" s="2" t="e">
        <f>LARGE(原始数据!$H$4:$H$41,ROW(B38))</f>
        <v>#DIV/0!</v>
      </c>
    </row>
  </sheetData>
  <pageMargins left="0.75" right="0.75" top="1" bottom="1" header="0.509027777777778" footer="0.509027777777778"/>
  <pageSetup paperSize="9" orientation="portrait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topLeftCell="A13" workbookViewId="0">
      <selection activeCell="K42" sqref="K42"/>
    </sheetView>
  </sheetViews>
  <sheetFormatPr defaultColWidth="9" defaultRowHeight="15" outlineLevelCol="1"/>
  <cols>
    <col min="1" max="1" width="14.625" customWidth="1"/>
    <col min="2" max="2" width="9" customWidth="1"/>
  </cols>
  <sheetData>
    <row r="1" spans="1:2">
      <c r="A1" s="1" t="s">
        <v>6</v>
      </c>
      <c r="B1" s="2" t="s">
        <v>63</v>
      </c>
    </row>
    <row r="2" spans="1:2">
      <c r="A2" s="6" t="e" cm="1">
        <f t="array" ref="A2">INDEX(原始数据!B:B,SMALL(IF(原始数据!T$4:T$41=B2,ROW(B$4:B$41),4^8),COUNTIF(B$2:B2,B2)))</f>
        <v>#DIV/0!</v>
      </c>
      <c r="B2" s="2" t="e">
        <f>LARGE(原始数据!$T$4:$T$41,ROW(B1))</f>
        <v>#DIV/0!</v>
      </c>
    </row>
    <row r="3" spans="1:2">
      <c r="A3" s="6" t="e" cm="1">
        <f t="array" ref="A3">INDEX(原始数据!B:B,SMALL(IF(原始数据!T$4:T$41=B3,ROW(B$4:B$41),4^8),COUNTIF(B$2:B3,B3)))</f>
        <v>#DIV/0!</v>
      </c>
      <c r="B3" s="2" t="e">
        <f>LARGE(原始数据!$T$4:$T$41,ROW(B2))</f>
        <v>#DIV/0!</v>
      </c>
    </row>
    <row r="4" spans="1:2">
      <c r="A4" s="6" t="e" cm="1">
        <f t="array" ref="A4">INDEX(原始数据!B:B,SMALL(IF(原始数据!T$4:T$41=B4,ROW(B$4:B$41),4^8),COUNTIF(B$2:B4,B4)))</f>
        <v>#DIV/0!</v>
      </c>
      <c r="B4" s="2" t="e">
        <f>LARGE(原始数据!$T$4:$T$41,ROW(B3))</f>
        <v>#DIV/0!</v>
      </c>
    </row>
    <row r="5" spans="1:2">
      <c r="A5" s="6" t="e" cm="1">
        <f t="array" ref="A5">INDEX(原始数据!B:B,SMALL(IF(原始数据!T$4:T$41=B5,ROW(B$4:B$41),4^8),COUNTIF(B$2:B5,B5)))</f>
        <v>#DIV/0!</v>
      </c>
      <c r="B5" s="2" t="e">
        <f>LARGE(原始数据!$T$4:$T$41,ROW(B4))</f>
        <v>#DIV/0!</v>
      </c>
    </row>
    <row r="6" spans="1:2">
      <c r="A6" s="6" t="e" cm="1">
        <f t="array" ref="A6">INDEX(原始数据!B:B,SMALL(IF(原始数据!T$4:T$41=B6,ROW(B$4:B$41),4^8),COUNTIF(B$2:B6,B6)))</f>
        <v>#DIV/0!</v>
      </c>
      <c r="B6" s="2" t="e">
        <f>LARGE(原始数据!$T$4:$T$41,ROW(B5))</f>
        <v>#DIV/0!</v>
      </c>
    </row>
    <row r="7" spans="1:2">
      <c r="A7" s="6" t="e" cm="1">
        <f t="array" ref="A7">INDEX(原始数据!B:B,SMALL(IF(原始数据!T$4:T$41=B7,ROW(B$4:B$41),4^8),COUNTIF(B$2:B7,B7)))</f>
        <v>#DIV/0!</v>
      </c>
      <c r="B7" s="2" t="e">
        <f>LARGE(原始数据!$T$4:$T$41,ROW(B6))</f>
        <v>#DIV/0!</v>
      </c>
    </row>
    <row r="8" spans="1:2">
      <c r="A8" s="6" t="e" cm="1">
        <f t="array" ref="A8">INDEX(原始数据!B:B,SMALL(IF(原始数据!T$4:T$41=B8,ROW(B$4:B$41),4^8),COUNTIF(B$2:B8,B8)))</f>
        <v>#DIV/0!</v>
      </c>
      <c r="B8" s="2" t="e">
        <f>LARGE(原始数据!$T$4:$T$41,ROW(B7))</f>
        <v>#DIV/0!</v>
      </c>
    </row>
    <row r="9" spans="1:2">
      <c r="A9" s="6" t="e" cm="1">
        <f t="array" ref="A9">INDEX(原始数据!B:B,SMALL(IF(原始数据!T$4:T$41=B9,ROW(B$4:B$41),4^8),COUNTIF(B$2:B9,B9)))</f>
        <v>#DIV/0!</v>
      </c>
      <c r="B9" s="2" t="e">
        <f>LARGE(原始数据!$T$4:$T$41,ROW(B8))</f>
        <v>#DIV/0!</v>
      </c>
    </row>
    <row r="10" spans="1:2">
      <c r="A10" s="6" t="e" cm="1">
        <f t="array" ref="A10">INDEX(原始数据!B:B,SMALL(IF(原始数据!T$4:T$41=B10,ROW(B$4:B$41),4^8),COUNTIF(B$2:B10,B10)))</f>
        <v>#DIV/0!</v>
      </c>
      <c r="B10" s="2" t="e">
        <f>LARGE(原始数据!$T$4:$T$41,ROW(B9))</f>
        <v>#DIV/0!</v>
      </c>
    </row>
    <row r="11" spans="1:2">
      <c r="A11" s="6" t="e" cm="1">
        <f t="array" ref="A11">INDEX(原始数据!B:B,SMALL(IF(原始数据!T$4:T$41=B11,ROW(B$4:B$41),4^8),COUNTIF(B$2:B11,B11)))</f>
        <v>#DIV/0!</v>
      </c>
      <c r="B11" s="2" t="e">
        <f>LARGE(原始数据!$T$4:$T$41,ROW(B10))</f>
        <v>#DIV/0!</v>
      </c>
    </row>
    <row r="12" spans="1:2">
      <c r="A12" s="6" t="e" cm="1">
        <f t="array" ref="A12">INDEX(原始数据!B:B,SMALL(IF(原始数据!T$4:T$41=B12,ROW(B$4:B$41),4^8),COUNTIF(B$2:B12,B12)))</f>
        <v>#DIV/0!</v>
      </c>
      <c r="B12" s="2" t="e">
        <f>LARGE(原始数据!$T$4:$T$41,ROW(B11))</f>
        <v>#DIV/0!</v>
      </c>
    </row>
    <row r="13" spans="1:2">
      <c r="A13" s="6" t="e" cm="1">
        <f t="array" ref="A13">INDEX(原始数据!B:B,SMALL(IF(原始数据!T$4:T$41=B13,ROW(B$4:B$41),4^8),COUNTIF(B$2:B13,B13)))</f>
        <v>#DIV/0!</v>
      </c>
      <c r="B13" s="2" t="e">
        <f>LARGE(原始数据!$T$4:$T$41,ROW(B12))</f>
        <v>#DIV/0!</v>
      </c>
    </row>
    <row r="14" spans="1:2">
      <c r="A14" s="6" t="e" cm="1">
        <f t="array" ref="A14">INDEX(原始数据!B:B,SMALL(IF(原始数据!T$4:T$41=B14,ROW(B$4:B$41),4^8),COUNTIF(B$2:B14,B14)))</f>
        <v>#DIV/0!</v>
      </c>
      <c r="B14" s="2" t="e">
        <f>LARGE(原始数据!$T$4:$T$41,ROW(B13))</f>
        <v>#DIV/0!</v>
      </c>
    </row>
    <row r="15" spans="1:2">
      <c r="A15" s="6" t="e" cm="1">
        <f t="array" ref="A15">INDEX(原始数据!B:B,SMALL(IF(原始数据!T$4:T$41=B15,ROW(B$4:B$41),4^8),COUNTIF(B$2:B15,B15)))</f>
        <v>#DIV/0!</v>
      </c>
      <c r="B15" s="2" t="e">
        <f>LARGE(原始数据!$T$4:$T$41,ROW(B14))</f>
        <v>#DIV/0!</v>
      </c>
    </row>
    <row r="16" spans="1:2">
      <c r="A16" s="6" t="e" cm="1">
        <f t="array" ref="A16">INDEX(原始数据!B:B,SMALL(IF(原始数据!T$4:T$41=B16,ROW(B$4:B$41),4^8),COUNTIF(B$2:B16,B16)))</f>
        <v>#DIV/0!</v>
      </c>
      <c r="B16" s="2" t="e">
        <f>LARGE(原始数据!$T$4:$T$41,ROW(B15))</f>
        <v>#DIV/0!</v>
      </c>
    </row>
    <row r="17" spans="1:2">
      <c r="A17" s="6" t="e" cm="1">
        <f t="array" ref="A17">INDEX(原始数据!B:B,SMALL(IF(原始数据!T$4:T$41=B17,ROW(B$4:B$41),4^8),COUNTIF(B$2:B17,B17)))</f>
        <v>#DIV/0!</v>
      </c>
      <c r="B17" s="2" t="e">
        <f>LARGE(原始数据!$T$4:$T$41,ROW(B16))</f>
        <v>#DIV/0!</v>
      </c>
    </row>
    <row r="18" spans="1:2">
      <c r="A18" s="6" t="e" cm="1">
        <f t="array" ref="A18">INDEX(原始数据!B:B,SMALL(IF(原始数据!T$4:T$41=B18,ROW(B$4:B$41),4^8),COUNTIF(B$2:B18,B18)))</f>
        <v>#DIV/0!</v>
      </c>
      <c r="B18" s="2" t="e">
        <f>LARGE(原始数据!$T$4:$T$41,ROW(B17))</f>
        <v>#DIV/0!</v>
      </c>
    </row>
    <row r="19" spans="1:2">
      <c r="A19" s="6" t="e" cm="1">
        <f t="array" ref="A19">INDEX(原始数据!B:B,SMALL(IF(原始数据!T$4:T$41=B19,ROW(B$4:B$41),4^8),COUNTIF(B$2:B19,B19)))</f>
        <v>#DIV/0!</v>
      </c>
      <c r="B19" s="2" t="e">
        <f>LARGE(原始数据!$T$4:$T$41,ROW(B18))</f>
        <v>#DIV/0!</v>
      </c>
    </row>
    <row r="20" spans="1:2">
      <c r="A20" s="6" t="e" cm="1">
        <f t="array" ref="A20">INDEX(原始数据!B:B,SMALL(IF(原始数据!T$4:T$41=B20,ROW(B$4:B$41),4^8),COUNTIF(B$2:B20,B20)))</f>
        <v>#DIV/0!</v>
      </c>
      <c r="B20" s="2" t="e">
        <f>LARGE(原始数据!$T$4:$T$41,ROW(B19))</f>
        <v>#DIV/0!</v>
      </c>
    </row>
    <row r="21" spans="1:2">
      <c r="A21" s="6" t="e" cm="1">
        <f t="array" ref="A21">INDEX(原始数据!B:B,SMALL(IF(原始数据!T$4:T$41=B21,ROW(B$4:B$41),4^8),COUNTIF(B$2:B21,B21)))</f>
        <v>#DIV/0!</v>
      </c>
      <c r="B21" s="2" t="e">
        <f>LARGE(原始数据!$T$4:$T$41,ROW(B20))</f>
        <v>#DIV/0!</v>
      </c>
    </row>
    <row r="22" spans="1:2">
      <c r="A22" s="6" t="e" cm="1">
        <f t="array" ref="A22">INDEX(原始数据!B:B,SMALL(IF(原始数据!T$4:T$41=B22,ROW(B$4:B$41),4^8),COUNTIF(B$2:B22,B22)))</f>
        <v>#DIV/0!</v>
      </c>
      <c r="B22" s="2" t="e">
        <f>LARGE(原始数据!$T$4:$T$41,ROW(B21))</f>
        <v>#DIV/0!</v>
      </c>
    </row>
    <row r="23" spans="1:2">
      <c r="A23" s="6" t="e" cm="1">
        <f t="array" ref="A23">INDEX(原始数据!B:B,SMALL(IF(原始数据!T$4:T$41=B23,ROW(B$4:B$41),4^8),COUNTIF(B$2:B23,B23)))</f>
        <v>#DIV/0!</v>
      </c>
      <c r="B23" s="2" t="e">
        <f>LARGE(原始数据!$T$4:$T$41,ROW(B22))</f>
        <v>#DIV/0!</v>
      </c>
    </row>
    <row r="24" spans="1:2">
      <c r="A24" s="6" t="e" cm="1">
        <f t="array" ref="A24">INDEX(原始数据!B:B,SMALL(IF(原始数据!T$4:T$41=B24,ROW(B$4:B$41),4^8),COUNTIF(B$2:B24,B24)))</f>
        <v>#DIV/0!</v>
      </c>
      <c r="B24" s="2" t="e">
        <f>LARGE(原始数据!$T$4:$T$41,ROW(B23))</f>
        <v>#DIV/0!</v>
      </c>
    </row>
    <row r="25" spans="1:2">
      <c r="A25" s="6" t="e" cm="1">
        <f t="array" ref="A25">INDEX(原始数据!B:B,SMALL(IF(原始数据!T$4:T$41=B25,ROW(B$4:B$41),4^8),COUNTIF(B$2:B25,B25)))</f>
        <v>#DIV/0!</v>
      </c>
      <c r="B25" s="2" t="e">
        <f>LARGE(原始数据!$T$4:$T$41,ROW(B24))</f>
        <v>#DIV/0!</v>
      </c>
    </row>
    <row r="26" spans="1:2">
      <c r="A26" s="6" t="e" cm="1">
        <f t="array" ref="A26">INDEX(原始数据!B:B,SMALL(IF(原始数据!T$4:T$41=B26,ROW(B$4:B$41),4^8),COUNTIF(B$2:B26,B26)))</f>
        <v>#DIV/0!</v>
      </c>
      <c r="B26" s="2" t="e">
        <f>LARGE(原始数据!$T$4:$T$41,ROW(B25))</f>
        <v>#DIV/0!</v>
      </c>
    </row>
    <row r="27" spans="1:2">
      <c r="A27" s="6" t="e" cm="1">
        <f t="array" ref="A27">INDEX(原始数据!B:B,SMALL(IF(原始数据!T$4:T$41=B27,ROW(B$4:B$41),4^8),COUNTIF(B$2:B27,B27)))</f>
        <v>#DIV/0!</v>
      </c>
      <c r="B27" s="2" t="e">
        <f>LARGE(原始数据!$T$4:$T$41,ROW(B26))</f>
        <v>#DIV/0!</v>
      </c>
    </row>
    <row r="28" spans="1:2">
      <c r="A28" s="6" t="e" cm="1">
        <f t="array" ref="A28">INDEX(原始数据!B:B,SMALL(IF(原始数据!T$4:T$41=B28,ROW(B$4:B$41),4^8),COUNTIF(B$2:B28,B28)))</f>
        <v>#DIV/0!</v>
      </c>
      <c r="B28" s="2" t="e">
        <f>LARGE(原始数据!$T$4:$T$41,ROW(B27))</f>
        <v>#DIV/0!</v>
      </c>
    </row>
    <row r="29" spans="1:2">
      <c r="A29" s="6" t="e" cm="1">
        <f t="array" ref="A29">INDEX(原始数据!B:B,SMALL(IF(原始数据!T$4:T$41=B29,ROW(B$4:B$41),4^8),COUNTIF(B$2:B29,B29)))</f>
        <v>#DIV/0!</v>
      </c>
      <c r="B29" s="2" t="e">
        <f>LARGE(原始数据!$T$4:$T$41,ROW(B28))</f>
        <v>#DIV/0!</v>
      </c>
    </row>
    <row r="30" spans="1:2">
      <c r="A30" s="6" t="e" cm="1">
        <f t="array" ref="A30">INDEX(原始数据!B:B,SMALL(IF(原始数据!T$4:T$41=B30,ROW(B$4:B$41),4^8),COUNTIF(B$2:B30,B30)))</f>
        <v>#DIV/0!</v>
      </c>
      <c r="B30" s="2" t="e">
        <f>LARGE(原始数据!$T$4:$T$41,ROW(B29))</f>
        <v>#DIV/0!</v>
      </c>
    </row>
    <row r="31" spans="1:2">
      <c r="A31" s="6" t="e" cm="1">
        <f t="array" ref="A31">INDEX(原始数据!B:B,SMALL(IF(原始数据!T$4:T$41=B31,ROW(B$4:B$41),4^8),COUNTIF(B$2:B31,B31)))</f>
        <v>#DIV/0!</v>
      </c>
      <c r="B31" s="2" t="e">
        <f>LARGE(原始数据!$T$4:$T$41,ROW(B30))</f>
        <v>#DIV/0!</v>
      </c>
    </row>
    <row r="32" spans="1:2">
      <c r="A32" s="6" t="e" cm="1">
        <f t="array" ref="A32">INDEX(原始数据!B:B,SMALL(IF(原始数据!T$4:T$41=B32,ROW(B$4:B$41),4^8),COUNTIF(B$2:B32,B32)))</f>
        <v>#DIV/0!</v>
      </c>
      <c r="B32" s="2" t="e">
        <f>LARGE(原始数据!$T$4:$T$41,ROW(B31))</f>
        <v>#DIV/0!</v>
      </c>
    </row>
    <row r="33" spans="1:2">
      <c r="A33" s="6" t="e" cm="1">
        <f t="array" ref="A33">INDEX(原始数据!B:B,SMALL(IF(原始数据!T$4:T$41=B33,ROW(B$4:B$41),4^8),COUNTIF(B$2:B33,B33)))</f>
        <v>#DIV/0!</v>
      </c>
      <c r="B33" s="2" t="e">
        <f>LARGE(原始数据!$T$4:$T$41,ROW(B32))</f>
        <v>#DIV/0!</v>
      </c>
    </row>
    <row r="34" spans="1:2">
      <c r="A34" s="6" t="e" cm="1">
        <f t="array" ref="A34">INDEX(原始数据!B:B,SMALL(IF(原始数据!T$4:T$41=B34,ROW(B$4:B$41),4^8),COUNTIF(B$2:B34,B34)))</f>
        <v>#DIV/0!</v>
      </c>
      <c r="B34" s="2" t="e">
        <f>LARGE(原始数据!$T$4:$T$41,ROW(B33))</f>
        <v>#DIV/0!</v>
      </c>
    </row>
    <row r="35" spans="1:2">
      <c r="A35" s="6" t="e" cm="1">
        <f t="array" ref="A35">INDEX(原始数据!B:B,SMALL(IF(原始数据!T$4:T$41=B35,ROW(B$4:B$41),4^8),COUNTIF(B$2:B35,B35)))</f>
        <v>#DIV/0!</v>
      </c>
      <c r="B35" s="2" t="e">
        <f>LARGE(原始数据!$T$4:$T$41,ROW(B34))</f>
        <v>#DIV/0!</v>
      </c>
    </row>
    <row r="36" spans="1:2">
      <c r="A36" s="6" t="e" cm="1">
        <f t="array" ref="A36">INDEX(原始数据!B:B,SMALL(IF(原始数据!T$4:T$41=B36,ROW(B$4:B$41),4^8),COUNTIF(B$2:B36,B36)))</f>
        <v>#DIV/0!</v>
      </c>
      <c r="B36" s="2" t="e">
        <f>LARGE(原始数据!$T$4:$T$41,ROW(B35))</f>
        <v>#DIV/0!</v>
      </c>
    </row>
    <row r="37" spans="1:2">
      <c r="A37" s="6" t="e" cm="1">
        <f t="array" ref="A37">INDEX(原始数据!B:B,SMALL(IF(原始数据!T$4:T$41=B37,ROW(B$4:B$41),4^8),COUNTIF(B$2:B37,B37)))</f>
        <v>#DIV/0!</v>
      </c>
      <c r="B37" s="2" t="e">
        <f>LARGE(原始数据!$T$4:$T$41,ROW(B36))</f>
        <v>#DIV/0!</v>
      </c>
    </row>
    <row r="38" spans="1:2">
      <c r="A38" s="6" t="e" cm="1">
        <f t="array" ref="A38">INDEX(原始数据!B:B,SMALL(IF(原始数据!T$4:T$41=B38,ROW(B$4:B$41),4^8),COUNTIF(B$2:B38,B38)))</f>
        <v>#DIV/0!</v>
      </c>
      <c r="B38" s="2" t="e">
        <f>LARGE(原始数据!$T$4:$T$41,ROW(B37))</f>
        <v>#DIV/0!</v>
      </c>
    </row>
    <row r="39" spans="1:2">
      <c r="A39" s="6" t="e" cm="1">
        <f t="array" ref="A39">INDEX(原始数据!B:B,SMALL(IF(原始数据!T$4:T$41=B39,ROW(B$4:B$41),4^8),COUNTIF(B$2:B39,B39)))</f>
        <v>#DIV/0!</v>
      </c>
      <c r="B39" s="2" t="e">
        <f>LARGE(原始数据!$T$4:$T$41,ROW(B38))</f>
        <v>#DIV/0!</v>
      </c>
    </row>
  </sheetData>
  <pageMargins left="0.75" right="0.75" top="1" bottom="1" header="0.509027777777778" footer="0.509027777777778"/>
  <pageSetup paperSize="9" orientation="portrait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9"/>
  <sheetViews>
    <sheetView zoomScale="115" zoomScaleNormal="115" topLeftCell="A10" workbookViewId="0">
      <selection activeCell="C30" sqref="C30"/>
    </sheetView>
  </sheetViews>
  <sheetFormatPr defaultColWidth="9" defaultRowHeight="15" outlineLevelCol="1"/>
  <cols>
    <col min="1" max="1" width="12.875" customWidth="1"/>
  </cols>
  <sheetData>
    <row r="1" spans="1:2">
      <c r="A1" s="1" t="s">
        <v>6</v>
      </c>
      <c r="B1" s="2" t="s">
        <v>64</v>
      </c>
    </row>
    <row r="2" spans="1:2">
      <c r="A2" s="6" t="e" cm="1">
        <f t="array" ref="A2">INDEX(原始数据!B:B,SMALL(IF(原始数据!I$4:I$41=B2,ROW(B$4:B$41),4^8),COUNTIF(B$2:B2,B2)))</f>
        <v>#NUM!</v>
      </c>
      <c r="B2" t="e">
        <f>LARGE(原始数据!$I$4:$I$41,ROW(B1))</f>
        <v>#NUM!</v>
      </c>
    </row>
    <row r="3" spans="1:2">
      <c r="A3" s="6" t="e" cm="1">
        <f t="array" ref="A3">INDEX(原始数据!B:B,SMALL(IF(原始数据!I$4:I$41=B3,ROW(B$4:B$41),4^8),COUNTIF(B$2:B3,B3)))</f>
        <v>#NUM!</v>
      </c>
      <c r="B3" t="e">
        <f>LARGE(原始数据!$I$4:$I$41,ROW(B2))</f>
        <v>#NUM!</v>
      </c>
    </row>
    <row r="4" spans="1:2">
      <c r="A4" s="6" t="e" cm="1">
        <f t="array" ref="A4">INDEX(原始数据!B:B,SMALL(IF(原始数据!I$4:I$41=B4,ROW(B$4:B$41),4^8),COUNTIF(B$2:B4,B4)))</f>
        <v>#NUM!</v>
      </c>
      <c r="B4" t="e">
        <f>LARGE(原始数据!$I$4:$I$41,ROW(B3))</f>
        <v>#NUM!</v>
      </c>
    </row>
    <row r="5" spans="1:2">
      <c r="A5" s="6" t="e" cm="1">
        <f t="array" ref="A5">INDEX(原始数据!B:B,SMALL(IF(原始数据!I$4:I$41=B5,ROW(B$4:B$41),4^8),COUNTIF(B$2:B5,B5)))</f>
        <v>#NUM!</v>
      </c>
      <c r="B5" t="e">
        <f>LARGE(原始数据!$I$4:$I$41,ROW(B4))</f>
        <v>#NUM!</v>
      </c>
    </row>
    <row r="6" spans="1:2">
      <c r="A6" s="6" t="e" cm="1">
        <f t="array" ref="A6">INDEX(原始数据!B:B,SMALL(IF(原始数据!I$4:I$41=B6,ROW(B$4:B$41),4^8),COUNTIF(B$2:B6,B6)))</f>
        <v>#NUM!</v>
      </c>
      <c r="B6" t="e">
        <f>LARGE(原始数据!$I$4:$I$41,ROW(B5))</f>
        <v>#NUM!</v>
      </c>
    </row>
    <row r="7" spans="1:2">
      <c r="A7" s="6" t="e" cm="1">
        <f t="array" ref="A7">INDEX(原始数据!B:B,SMALL(IF(原始数据!I$4:I$41=B7,ROW(B$4:B$41),4^8),COUNTIF(B$2:B7,B7)))</f>
        <v>#NUM!</v>
      </c>
      <c r="B7" t="e">
        <f>LARGE(原始数据!$I$4:$I$41,ROW(B6))</f>
        <v>#NUM!</v>
      </c>
    </row>
    <row r="8" spans="1:2">
      <c r="A8" s="6" t="e" cm="1">
        <f t="array" ref="A8">INDEX(原始数据!B:B,SMALL(IF(原始数据!I$4:I$41=B8,ROW(B$4:B$41),4^8),COUNTIF(B$2:B8,B8)))</f>
        <v>#NUM!</v>
      </c>
      <c r="B8" t="e">
        <f>LARGE(原始数据!$I$4:$I$41,ROW(B7))</f>
        <v>#NUM!</v>
      </c>
    </row>
    <row r="9" spans="1:2">
      <c r="A9" s="6" t="e" cm="1">
        <f t="array" ref="A9">INDEX(原始数据!B:B,SMALL(IF(原始数据!I$4:I$41=B9,ROW(B$4:B$41),4^8),COUNTIF(B$2:B9,B9)))</f>
        <v>#NUM!</v>
      </c>
      <c r="B9" t="e">
        <f>LARGE(原始数据!$I$4:$I$41,ROW(B8))</f>
        <v>#NUM!</v>
      </c>
    </row>
    <row r="10" spans="1:2">
      <c r="A10" s="6" t="e" cm="1">
        <f t="array" ref="A10">INDEX(原始数据!B:B,SMALL(IF(原始数据!I$4:I$41=B10,ROW(B$4:B$41),4^8),COUNTIF(B$2:B10,B10)))</f>
        <v>#NUM!</v>
      </c>
      <c r="B10" t="e">
        <f>LARGE(原始数据!$I$4:$I$41,ROW(B9))</f>
        <v>#NUM!</v>
      </c>
    </row>
    <row r="11" spans="1:2">
      <c r="A11" s="6" t="e" cm="1">
        <f t="array" ref="A11">INDEX(原始数据!B:B,SMALL(IF(原始数据!I$4:I$41=B11,ROW(B$4:B$41),4^8),COUNTIF(B$2:B11,B11)))</f>
        <v>#NUM!</v>
      </c>
      <c r="B11" t="e">
        <f>LARGE(原始数据!$I$4:$I$41,ROW(B10))</f>
        <v>#NUM!</v>
      </c>
    </row>
    <row r="12" spans="1:2">
      <c r="A12" s="6" t="e" cm="1">
        <f t="array" ref="A12">INDEX(原始数据!B:B,SMALL(IF(原始数据!I$4:I$41=B12,ROW(B$4:B$41),4^8),COUNTIF(B$2:B12,B12)))</f>
        <v>#NUM!</v>
      </c>
      <c r="B12" t="e">
        <f>LARGE(原始数据!$I$4:$I$41,ROW(B11))</f>
        <v>#NUM!</v>
      </c>
    </row>
    <row r="13" spans="1:2">
      <c r="A13" s="6" t="e" cm="1">
        <f t="array" ref="A13">INDEX(原始数据!B:B,SMALL(IF(原始数据!I$4:I$41=B13,ROW(B$4:B$41),4^8),COUNTIF(B$2:B13,B13)))</f>
        <v>#NUM!</v>
      </c>
      <c r="B13" t="e">
        <f>LARGE(原始数据!$I$4:$I$41,ROW(B12))</f>
        <v>#NUM!</v>
      </c>
    </row>
    <row r="14" spans="1:2">
      <c r="A14" s="6" t="e" cm="1">
        <f t="array" ref="A14">INDEX(原始数据!B:B,SMALL(IF(原始数据!I$4:I$41=B14,ROW(B$4:B$41),4^8),COUNTIF(B$2:B14,B14)))</f>
        <v>#NUM!</v>
      </c>
      <c r="B14" t="e">
        <f>LARGE(原始数据!$I$4:$I$41,ROW(B13))</f>
        <v>#NUM!</v>
      </c>
    </row>
    <row r="15" spans="1:2">
      <c r="A15" s="6" t="e" cm="1">
        <f t="array" ref="A15">INDEX(原始数据!B:B,SMALL(IF(原始数据!I$4:I$41=B15,ROW(B$4:B$41),4^8),COUNTIF(B$2:B15,B15)))</f>
        <v>#NUM!</v>
      </c>
      <c r="B15" t="e">
        <f>LARGE(原始数据!$I$4:$I$41,ROW(B14))</f>
        <v>#NUM!</v>
      </c>
    </row>
    <row r="16" spans="1:2">
      <c r="A16" s="6" t="e" cm="1">
        <f t="array" ref="A16">INDEX(原始数据!B:B,SMALL(IF(原始数据!I$4:I$41=B16,ROW(B$4:B$41),4^8),COUNTIF(B$2:B16,B16)))</f>
        <v>#NUM!</v>
      </c>
      <c r="B16" t="e">
        <f>LARGE(原始数据!$I$4:$I$41,ROW(B15))</f>
        <v>#NUM!</v>
      </c>
    </row>
    <row r="17" spans="1:2">
      <c r="A17" s="6" t="e" cm="1">
        <f t="array" ref="A17">INDEX(原始数据!B:B,SMALL(IF(原始数据!I$4:I$41=B17,ROW(B$4:B$41),4^8),COUNTIF(B$2:B17,B17)))</f>
        <v>#NUM!</v>
      </c>
      <c r="B17" t="e">
        <f>LARGE(原始数据!$I$4:$I$41,ROW(B16))</f>
        <v>#NUM!</v>
      </c>
    </row>
    <row r="18" spans="1:2">
      <c r="A18" s="6" t="e" cm="1">
        <f t="array" ref="A18">INDEX(原始数据!B:B,SMALL(IF(原始数据!I$4:I$41=B18,ROW(B$4:B$41),4^8),COUNTIF(B$2:B18,B18)))</f>
        <v>#NUM!</v>
      </c>
      <c r="B18" t="e">
        <f>LARGE(原始数据!$I$4:$I$41,ROW(B17))</f>
        <v>#NUM!</v>
      </c>
    </row>
    <row r="19" spans="1:2">
      <c r="A19" s="6" t="e" cm="1">
        <f t="array" ref="A19">INDEX(原始数据!B:B,SMALL(IF(原始数据!I$4:I$41=B19,ROW(B$4:B$41),4^8),COUNTIF(B$2:B19,B19)))</f>
        <v>#NUM!</v>
      </c>
      <c r="B19" t="e">
        <f>LARGE(原始数据!$I$4:$I$41,ROW(B18))</f>
        <v>#NUM!</v>
      </c>
    </row>
    <row r="20" spans="1:2">
      <c r="A20" s="6" t="e" cm="1">
        <f t="array" ref="A20">INDEX(原始数据!B:B,SMALL(IF(原始数据!I$4:I$41=B20,ROW(B$4:B$41),4^8),COUNTIF(B$2:B20,B20)))</f>
        <v>#NUM!</v>
      </c>
      <c r="B20" t="e">
        <f>LARGE(原始数据!$I$4:$I$41,ROW(B19))</f>
        <v>#NUM!</v>
      </c>
    </row>
    <row r="21" spans="1:2">
      <c r="A21" s="6" t="e" cm="1">
        <f t="array" ref="A21">INDEX(原始数据!B:B,SMALL(IF(原始数据!I$4:I$41=B21,ROW(B$4:B$41),4^8),COUNTIF(B$2:B21,B21)))</f>
        <v>#NUM!</v>
      </c>
      <c r="B21" t="e">
        <f>LARGE(原始数据!$I$4:$I$41,ROW(B20))</f>
        <v>#NUM!</v>
      </c>
    </row>
    <row r="22" spans="1:2">
      <c r="A22" s="6" t="e" cm="1">
        <f t="array" ref="A22">INDEX(原始数据!B:B,SMALL(IF(原始数据!I$4:I$41=B22,ROW(B$4:B$41),4^8),COUNTIF(B$2:B22,B22)))</f>
        <v>#NUM!</v>
      </c>
      <c r="B22" t="e">
        <f>LARGE(原始数据!$I$4:$I$41,ROW(B21))</f>
        <v>#NUM!</v>
      </c>
    </row>
    <row r="23" spans="1:2">
      <c r="A23" s="6" t="e" cm="1">
        <f t="array" ref="A23">INDEX(原始数据!B:B,SMALL(IF(原始数据!I$4:I$41=B23,ROW(B$4:B$41),4^8),COUNTIF(B$2:B23,B23)))</f>
        <v>#NUM!</v>
      </c>
      <c r="B23" t="e">
        <f>LARGE(原始数据!$I$4:$I$41,ROW(B22))</f>
        <v>#NUM!</v>
      </c>
    </row>
    <row r="24" spans="1:2">
      <c r="A24" s="6" t="e" cm="1">
        <f t="array" ref="A24">INDEX(原始数据!B:B,SMALL(IF(原始数据!I$4:I$41=B24,ROW(B$4:B$41),4^8),COUNTIF(B$2:B24,B24)))</f>
        <v>#NUM!</v>
      </c>
      <c r="B24" t="e">
        <f>LARGE(原始数据!$I$4:$I$41,ROW(B23))</f>
        <v>#NUM!</v>
      </c>
    </row>
    <row r="25" spans="1:2">
      <c r="A25" s="6" t="e" cm="1">
        <f t="array" ref="A25">INDEX(原始数据!B:B,SMALL(IF(原始数据!I$4:I$41=B25,ROW(B$4:B$41),4^8),COUNTIF(B$2:B25,B25)))</f>
        <v>#NUM!</v>
      </c>
      <c r="B25" t="e">
        <f>LARGE(原始数据!$I$4:$I$41,ROW(B24))</f>
        <v>#NUM!</v>
      </c>
    </row>
    <row r="26" spans="1:2">
      <c r="A26" s="6" t="e" cm="1">
        <f t="array" ref="A26">INDEX(原始数据!B:B,SMALL(IF(原始数据!I$4:I$41=B26,ROW(B$4:B$41),4^8),COUNTIF(B$2:B26,B26)))</f>
        <v>#NUM!</v>
      </c>
      <c r="B26" t="e">
        <f>LARGE(原始数据!$I$4:$I$41,ROW(B25))</f>
        <v>#NUM!</v>
      </c>
    </row>
    <row r="27" spans="1:2">
      <c r="A27" s="6" t="e" cm="1">
        <f t="array" ref="A27">INDEX(原始数据!B:B,SMALL(IF(原始数据!I$4:I$41=B27,ROW(B$4:B$41),4^8),COUNTIF(B$2:B27,B27)))</f>
        <v>#NUM!</v>
      </c>
      <c r="B27" t="e">
        <f>LARGE(原始数据!$I$4:$I$41,ROW(B26))</f>
        <v>#NUM!</v>
      </c>
    </row>
    <row r="28" spans="1:2">
      <c r="A28" s="6" t="e" cm="1">
        <f t="array" ref="A28">INDEX(原始数据!B:B,SMALL(IF(原始数据!I$4:I$41=B28,ROW(B$4:B$41),4^8),COUNTIF(B$2:B28,B28)))</f>
        <v>#NUM!</v>
      </c>
      <c r="B28" t="e">
        <f>LARGE(原始数据!$I$4:$I$41,ROW(B27))</f>
        <v>#NUM!</v>
      </c>
    </row>
    <row r="29" spans="1:2">
      <c r="A29" s="6" t="e" cm="1">
        <f t="array" ref="A29">INDEX(原始数据!B:B,SMALL(IF(原始数据!I$4:I$41=B29,ROW(B$4:B$41),4^8),COUNTIF(B$2:B29,B29)))</f>
        <v>#NUM!</v>
      </c>
      <c r="B29" t="e">
        <f>LARGE(原始数据!$I$4:$I$41,ROW(B28))</f>
        <v>#NUM!</v>
      </c>
    </row>
    <row r="30" spans="1:2">
      <c r="A30" s="6" t="e" cm="1">
        <f t="array" ref="A30">INDEX(原始数据!B:B,SMALL(IF(原始数据!I$4:I$41=B30,ROW(B$4:B$41),4^8),COUNTIF(B$2:B30,B30)))</f>
        <v>#NUM!</v>
      </c>
      <c r="B30" t="e">
        <f>LARGE(原始数据!$I$4:$I$41,ROW(B29))</f>
        <v>#NUM!</v>
      </c>
    </row>
    <row r="31" spans="1:2">
      <c r="A31" s="6" t="e" cm="1">
        <f t="array" ref="A31">INDEX(原始数据!B:B,SMALL(IF(原始数据!I$4:I$41=B31,ROW(B$4:B$41),4^8),COUNTIF(B$2:B31,B31)))</f>
        <v>#NUM!</v>
      </c>
      <c r="B31" t="e">
        <f>LARGE(原始数据!$I$4:$I$41,ROW(B30))</f>
        <v>#NUM!</v>
      </c>
    </row>
    <row r="32" spans="1:2">
      <c r="A32" s="6" t="e" cm="1">
        <f t="array" ref="A32">INDEX(原始数据!B:B,SMALL(IF(原始数据!I$4:I$41=B32,ROW(B$4:B$41),4^8),COUNTIF(B$2:B32,B32)))</f>
        <v>#NUM!</v>
      </c>
      <c r="B32" t="e">
        <f>LARGE(原始数据!$I$4:$I$41,ROW(B31))</f>
        <v>#NUM!</v>
      </c>
    </row>
    <row r="33" spans="1:2">
      <c r="A33" s="6" t="e" cm="1">
        <f t="array" ref="A33">INDEX(原始数据!B:B,SMALL(IF(原始数据!I$4:I$41=B33,ROW(B$4:B$41),4^8),COUNTIF(B$2:B33,B33)))</f>
        <v>#NUM!</v>
      </c>
      <c r="B33" t="e">
        <f>LARGE(原始数据!$I$4:$I$41,ROW(B32))</f>
        <v>#NUM!</v>
      </c>
    </row>
    <row r="34" spans="1:2">
      <c r="A34" s="6" t="e" cm="1">
        <f t="array" ref="A34">INDEX(原始数据!B:B,SMALL(IF(原始数据!I$4:I$41=B34,ROW(B$4:B$41),4^8),COUNTIF(B$2:B34,B34)))</f>
        <v>#NUM!</v>
      </c>
      <c r="B34" t="e">
        <f>LARGE(原始数据!$I$4:$I$41,ROW(B33))</f>
        <v>#NUM!</v>
      </c>
    </row>
    <row r="35" spans="1:2">
      <c r="A35" s="6" t="e" cm="1">
        <f t="array" ref="A35">INDEX(原始数据!B:B,SMALL(IF(原始数据!I$4:I$41=B35,ROW(B$4:B$41),4^8),COUNTIF(B$2:B35,B35)))</f>
        <v>#NUM!</v>
      </c>
      <c r="B35" t="e">
        <f>LARGE(原始数据!$I$4:$I$41,ROW(B34))</f>
        <v>#NUM!</v>
      </c>
    </row>
    <row r="36" spans="1:2">
      <c r="A36" s="6" t="e" cm="1">
        <f t="array" ref="A36">INDEX(原始数据!B:B,SMALL(IF(原始数据!I$4:I$41=B36,ROW(B$4:B$41),4^8),COUNTIF(B$2:B36,B36)))</f>
        <v>#NUM!</v>
      </c>
      <c r="B36" t="e">
        <f>LARGE(原始数据!$I$4:$I$41,ROW(B35))</f>
        <v>#NUM!</v>
      </c>
    </row>
    <row r="37" spans="1:2">
      <c r="A37" s="6" t="e" cm="1">
        <f t="array" ref="A37">INDEX(原始数据!B:B,SMALL(IF(原始数据!I$4:I$41=B37,ROW(B$4:B$41),4^8),COUNTIF(B$2:B37,B37)))</f>
        <v>#NUM!</v>
      </c>
      <c r="B37" t="e">
        <f>LARGE(原始数据!$I$4:$I$41,ROW(B36))</f>
        <v>#NUM!</v>
      </c>
    </row>
    <row r="38" spans="1:2">
      <c r="A38" s="6" t="e" cm="1">
        <f t="array" ref="A38">INDEX(原始数据!B:B,SMALL(IF(原始数据!I$4:I$41=B38,ROW(B$4:B$41),4^8),COUNTIF(B$2:B38,B38)))</f>
        <v>#NUM!</v>
      </c>
      <c r="B38" t="e">
        <f>LARGE(原始数据!$I$4:$I$41,ROW(B37))</f>
        <v>#NUM!</v>
      </c>
    </row>
    <row r="39" spans="1:2">
      <c r="A39" s="6" t="e" cm="1">
        <f t="array" ref="A39">INDEX(原始数据!B:B,SMALL(IF(原始数据!I$4:I$41=B39,ROW(B$4:B$41),4^8),COUNTIF(B$2:B39,B39)))</f>
        <v>#NUM!</v>
      </c>
      <c r="B39" t="e">
        <f>LARGE(原始数据!$I$4:$I$41,ROW(B38))</f>
        <v>#NUM!</v>
      </c>
    </row>
  </sheetData>
  <pageMargins left="0.699305555555556" right="0.699305555555556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zoomScale="160" zoomScaleNormal="160" workbookViewId="0">
      <selection activeCell="A5" sqref="A5"/>
    </sheetView>
  </sheetViews>
  <sheetFormatPr defaultColWidth="9" defaultRowHeight="15" outlineLevelCol="1"/>
  <cols>
    <col min="1" max="1" width="13.375" customWidth="1"/>
    <col min="2" max="2" width="9.125" customWidth="1"/>
  </cols>
  <sheetData>
    <row r="1" spans="1:2">
      <c r="A1" s="1" t="s">
        <v>6</v>
      </c>
      <c r="B1" s="2" t="s">
        <v>12</v>
      </c>
    </row>
    <row r="2" spans="1:2">
      <c r="A2" s="6" t="e" cm="1">
        <f t="array" ref="A2">INDEX(原始数据!B:B,SMALL(IF(原始数据!H$4:H$15=B2,ROW(B$4:B$15),4^8),COUNTIF(B$2:B2,B2)))</f>
        <v>#DIV/0!</v>
      </c>
      <c r="B2" s="2" t="e">
        <f>LARGE(原始数据!$H$4:$H$15,ROW(B1))</f>
        <v>#DIV/0!</v>
      </c>
    </row>
    <row r="3" spans="1:2">
      <c r="A3" s="6" t="e" cm="1">
        <f t="array" ref="A3">INDEX(原始数据!B:B,SMALL(IF(原始数据!H$4:H$15=B3,ROW(B$4:B$15),4^8),COUNTIF(B$2:B3,B3)))</f>
        <v>#DIV/0!</v>
      </c>
      <c r="B3" s="2" t="e">
        <f>LARGE(原始数据!$H$4:$H$15,ROW(B2))</f>
        <v>#DIV/0!</v>
      </c>
    </row>
    <row r="4" spans="1:2">
      <c r="A4" s="6" t="e" cm="1">
        <f t="array" ref="A4">INDEX(原始数据!B:B,SMALL(IF(原始数据!H$4:H$15=B4,ROW(B$4:B$15),4^8),COUNTIF(B$2:B4,B4)))</f>
        <v>#DIV/0!</v>
      </c>
      <c r="B4" s="2" t="e">
        <f>LARGE(原始数据!$H$4:$H$15,ROW(B3))</f>
        <v>#DIV/0!</v>
      </c>
    </row>
    <row r="5" spans="1:2">
      <c r="A5" s="6" t="e" cm="1">
        <f t="array" ref="A5">INDEX(原始数据!B:B,SMALL(IF(原始数据!H$4:H$15=B5,ROW(B$4:B$15),4^8),COUNTIF(B$2:B5,B5)))</f>
        <v>#DIV/0!</v>
      </c>
      <c r="B5" s="2" t="e">
        <f>LARGE(原始数据!$H$4:$H$15,ROW(B4))</f>
        <v>#DIV/0!</v>
      </c>
    </row>
    <row r="6" spans="1:2">
      <c r="A6" s="6" t="e" cm="1">
        <f t="array" ref="A6">INDEX(原始数据!B:B,SMALL(IF(原始数据!H$4:H$15=B6,ROW(B$4:B$15),4^8),COUNTIF(B$2:B6,B6)))</f>
        <v>#DIV/0!</v>
      </c>
      <c r="B6" s="2" t="e">
        <f>LARGE(原始数据!$H$4:$H$15,ROW(B5))</f>
        <v>#DIV/0!</v>
      </c>
    </row>
    <row r="7" spans="1:2">
      <c r="A7" s="6" t="e" cm="1">
        <f t="array" ref="A7">INDEX(原始数据!B:B,SMALL(IF(原始数据!H$4:H$15=B7,ROW(B$4:B$15),4^8),COUNTIF(B$2:B7,B7)))</f>
        <v>#DIV/0!</v>
      </c>
      <c r="B7" s="2" t="e">
        <f>LARGE(原始数据!$H$4:$H$15,ROW(B6))</f>
        <v>#DIV/0!</v>
      </c>
    </row>
    <row r="8" spans="1:2">
      <c r="A8" s="6" t="e" cm="1">
        <f t="array" ref="A8">INDEX(原始数据!B:B,SMALL(IF(原始数据!H$4:H$15=B8,ROW(B$4:B$15),4^8),COUNTIF(B$2:B8,B8)))</f>
        <v>#DIV/0!</v>
      </c>
      <c r="B8" s="2" t="e">
        <f>LARGE(原始数据!$H$4:$H$15,ROW(B7))</f>
        <v>#DIV/0!</v>
      </c>
    </row>
    <row r="9" spans="1:2">
      <c r="A9" s="6" t="e" cm="1">
        <f t="array" ref="A9">INDEX(原始数据!B:B,SMALL(IF(原始数据!H$4:H$15=B9,ROW(B$4:B$15),4^8),COUNTIF(B$2:B9,B9)))</f>
        <v>#DIV/0!</v>
      </c>
      <c r="B9" s="2" t="e">
        <f>LARGE(原始数据!$H$4:$H$15,ROW(B8))</f>
        <v>#DIV/0!</v>
      </c>
    </row>
    <row r="10" spans="1:2">
      <c r="A10" s="6" t="e" cm="1">
        <f t="array" ref="A10">INDEX(原始数据!B:B,SMALL(IF(原始数据!H$4:H$15=B10,ROW(B$4:B$15),4^8),COUNTIF(B$2:B10,B10)))</f>
        <v>#DIV/0!</v>
      </c>
      <c r="B10" s="2" t="e">
        <f>LARGE(原始数据!$H$4:$H$15,ROW(B9))</f>
        <v>#DIV/0!</v>
      </c>
    </row>
    <row r="11" spans="1:2">
      <c r="A11" s="6" t="e" cm="1">
        <f t="array" ref="A11">INDEX(原始数据!B:B,SMALL(IF(原始数据!H$4:H$15=B11,ROW(B$4:B$15),4^8),COUNTIF(B$2:B11,B11)))</f>
        <v>#DIV/0!</v>
      </c>
      <c r="B11" s="2" t="e">
        <f>LARGE(原始数据!$H$4:$H$15,ROW(B10))</f>
        <v>#DIV/0!</v>
      </c>
    </row>
    <row r="12" spans="1:2">
      <c r="A12" s="6" t="e" cm="1">
        <f t="array" ref="A12">INDEX(原始数据!B:B,SMALL(IF(原始数据!H$4:H$15=B12,ROW(B$4:B$15),4^8),COUNTIF(B$2:B12,B12)))</f>
        <v>#DIV/0!</v>
      </c>
      <c r="B12" s="2" t="e">
        <f>LARGE(原始数据!$H$4:$H$15,ROW(B11))</f>
        <v>#DIV/0!</v>
      </c>
    </row>
    <row r="13" spans="1:2">
      <c r="A13" s="6" t="e" cm="1">
        <f t="array" ref="A13">INDEX(原始数据!B:B,SMALL(IF(原始数据!H$4:H$15=B13,ROW(B$4:B$15),4^8),COUNTIF(B$2:B13,B13)))</f>
        <v>#DIV/0!</v>
      </c>
      <c r="B13" s="2" t="e">
        <f>LARGE(原始数据!$H$4:$H$15,ROW(B12))</f>
        <v>#DIV/0!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zoomScale="160" zoomScaleNormal="160" workbookViewId="0">
      <selection activeCell="D15" sqref="D15"/>
    </sheetView>
  </sheetViews>
  <sheetFormatPr defaultColWidth="9" defaultRowHeight="15" outlineLevelCol="1"/>
  <cols>
    <col min="1" max="1" width="14.875" customWidth="1"/>
  </cols>
  <sheetData>
    <row r="1" spans="1:2">
      <c r="A1" s="1" t="s">
        <v>6</v>
      </c>
      <c r="B1" s="2" t="s">
        <v>63</v>
      </c>
    </row>
    <row r="2" spans="1:2">
      <c r="A2" s="6" t="e" cm="1">
        <f t="array" ref="A2">INDEX(原始数据!B:B,SMALL(IF(原始数据!T$4:T$15=B2,ROW(T$4:T$15),4^8),COUNTIF(B$2:B2,B2)))</f>
        <v>#DIV/0!</v>
      </c>
      <c r="B2" s="2" t="e">
        <f>LARGE(原始数据!$T$4:$T$15,ROW(B1))</f>
        <v>#DIV/0!</v>
      </c>
    </row>
    <row r="3" spans="1:2">
      <c r="A3" s="6" t="e" cm="1">
        <f t="array" ref="A3">INDEX(原始数据!B:B,SMALL(IF(原始数据!T$4:T$15=B3,ROW(T$4:T$15),4^8),COUNTIF(B$2:B3,B3)))</f>
        <v>#DIV/0!</v>
      </c>
      <c r="B3" s="2" t="e">
        <f>LARGE(原始数据!$T$4:$T$15,ROW(B2))</f>
        <v>#DIV/0!</v>
      </c>
    </row>
    <row r="4" spans="1:2">
      <c r="A4" s="6" t="e" cm="1">
        <f t="array" ref="A4">INDEX(原始数据!B:B,SMALL(IF(原始数据!T$4:T$15=B4,ROW(T$4:T$15),4^8),COUNTIF(B$2:B4,B4)))</f>
        <v>#DIV/0!</v>
      </c>
      <c r="B4" s="2" t="e">
        <f>LARGE(原始数据!$T$4:$T$15,ROW(B3))</f>
        <v>#DIV/0!</v>
      </c>
    </row>
    <row r="5" spans="1:2">
      <c r="A5" s="6" t="e" cm="1">
        <f t="array" ref="A5">INDEX(原始数据!B:B,SMALL(IF(原始数据!T$4:T$15=B5,ROW(T$4:T$15),4^8),COUNTIF(B$2:B5,B5)))</f>
        <v>#DIV/0!</v>
      </c>
      <c r="B5" s="2" t="e">
        <f>LARGE(原始数据!$T$4:$T$15,ROW(B4))</f>
        <v>#DIV/0!</v>
      </c>
    </row>
    <row r="6" spans="1:2">
      <c r="A6" s="6" t="e" cm="1">
        <f t="array" ref="A6">INDEX(原始数据!B:B,SMALL(IF(原始数据!T$4:T$15=B6,ROW(T$4:T$15),4^8),COUNTIF(B$2:B6,B6)))</f>
        <v>#DIV/0!</v>
      </c>
      <c r="B6" s="2" t="e">
        <f>LARGE(原始数据!$T$4:$T$15,ROW(B5))</f>
        <v>#DIV/0!</v>
      </c>
    </row>
    <row r="7" spans="1:2">
      <c r="A7" s="6" t="e" cm="1">
        <f t="array" ref="A7">INDEX(原始数据!B:B,SMALL(IF(原始数据!T$4:T$15=B7,ROW(T$4:T$15),4^8),COUNTIF(B$2:B7,B7)))</f>
        <v>#DIV/0!</v>
      </c>
      <c r="B7" s="2" t="e">
        <f>LARGE(原始数据!$T$4:$T$15,ROW(B6))</f>
        <v>#DIV/0!</v>
      </c>
    </row>
    <row r="8" spans="1:2">
      <c r="A8" s="6" t="e" cm="1">
        <f t="array" ref="A8">INDEX(原始数据!B:B,SMALL(IF(原始数据!T$4:T$15=B8,ROW(T$4:T$15),4^8),COUNTIF(B$2:B8,B8)))</f>
        <v>#DIV/0!</v>
      </c>
      <c r="B8" s="2" t="e">
        <f>LARGE(原始数据!$T$4:$T$15,ROW(B7))</f>
        <v>#DIV/0!</v>
      </c>
    </row>
    <row r="9" spans="1:2">
      <c r="A9" s="6" t="e" cm="1">
        <f t="array" ref="A9">INDEX(原始数据!B:B,SMALL(IF(原始数据!T$4:T$15=B9,ROW(T$4:T$15),4^8),COUNTIF(B$2:B9,B9)))</f>
        <v>#DIV/0!</v>
      </c>
      <c r="B9" s="2" t="e">
        <f>LARGE(原始数据!$T$4:$T$15,ROW(B8))</f>
        <v>#DIV/0!</v>
      </c>
    </row>
    <row r="10" spans="1:2">
      <c r="A10" s="6" t="e" cm="1">
        <f t="array" ref="A10">INDEX(原始数据!B:B,SMALL(IF(原始数据!T$4:T$15=B10,ROW(T$4:T$15),4^8),COUNTIF(B$2:B10,B10)))</f>
        <v>#DIV/0!</v>
      </c>
      <c r="B10" s="2" t="e">
        <f>LARGE(原始数据!$T$4:$T$15,ROW(B9))</f>
        <v>#DIV/0!</v>
      </c>
    </row>
    <row r="11" spans="1:2">
      <c r="A11" s="6" t="e" cm="1">
        <f t="array" ref="A11">INDEX(原始数据!B:B,SMALL(IF(原始数据!T$4:T$15=B11,ROW(T$4:T$15),4^8),COUNTIF(B$2:B11,B11)))</f>
        <v>#DIV/0!</v>
      </c>
      <c r="B11" s="2" t="e">
        <f>LARGE(原始数据!$T$4:$T$15,ROW(B10))</f>
        <v>#DIV/0!</v>
      </c>
    </row>
    <row r="12" spans="1:2">
      <c r="A12" s="6" t="e" cm="1">
        <f t="array" ref="A12">INDEX(原始数据!B:B,SMALL(IF(原始数据!T$4:T$15=B12,ROW(T$4:T$15),4^8),COUNTIF(B$2:B12,B12)))</f>
        <v>#DIV/0!</v>
      </c>
      <c r="B12" s="2" t="e">
        <f>LARGE(原始数据!$T$4:$T$15,ROW(B11))</f>
        <v>#DIV/0!</v>
      </c>
    </row>
    <row r="13" spans="1:2">
      <c r="A13" s="6" t="e" cm="1">
        <f t="array" ref="A13">INDEX(原始数据!B:B,SMALL(IF(原始数据!T$4:T$15=B13,ROW(T$4:T$15),4^8),COUNTIF(B$2:B13,B13)))</f>
        <v>#DIV/0!</v>
      </c>
      <c r="B13" s="2" t="e">
        <f>LARGE(原始数据!$T$4:$T$15,ROW(B12))</f>
        <v>#DIV/0!</v>
      </c>
    </row>
  </sheetData>
  <pageMargins left="0.699305555555556" right="0.699305555555556" top="0.75" bottom="0.75" header="0.3" footer="0.3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160" zoomScaleNormal="160" workbookViewId="0">
      <selection activeCell="A13" sqref="A13"/>
    </sheetView>
  </sheetViews>
  <sheetFormatPr defaultColWidth="9" defaultRowHeight="15" outlineLevelCol="1"/>
  <cols>
    <col min="1" max="1" width="14.875" customWidth="1"/>
  </cols>
  <sheetData>
    <row r="1" spans="1:2">
      <c r="A1" s="1" t="s">
        <v>6</v>
      </c>
      <c r="B1" s="2" t="s">
        <v>65</v>
      </c>
    </row>
    <row r="2" spans="1:2">
      <c r="A2" s="6" t="e" cm="1">
        <f t="array" ref="A2">INDEX(原始数据!B:B,SMALL(IF(原始数据!J$4:J$15=B2,ROW(J$4:J$15),4^8),COUNTIF(B$2:B2,B2)))</f>
        <v>#DIV/0!</v>
      </c>
      <c r="B2" s="2" t="e">
        <f>LARGE(原始数据!$J$4:$J$15,ROW(B1))</f>
        <v>#DIV/0!</v>
      </c>
    </row>
    <row r="3" spans="1:2">
      <c r="A3" s="6" t="e" cm="1">
        <f t="array" ref="A3">INDEX(原始数据!B:B,SMALL(IF(原始数据!J$4:J$15=B3,ROW(J$4:J$15),4^8),COUNTIF(B$2:B3,B3)))</f>
        <v>#DIV/0!</v>
      </c>
      <c r="B3" s="2" t="e">
        <f>LARGE(原始数据!$J$4:$J$15,ROW(B2))</f>
        <v>#DIV/0!</v>
      </c>
    </row>
    <row r="4" spans="1:2">
      <c r="A4" s="6" t="e" cm="1">
        <f t="array" ref="A4">INDEX(原始数据!B:B,SMALL(IF(原始数据!J$4:J$15=B4,ROW(J$4:J$15),4^8),COUNTIF(B$2:B4,B4)))</f>
        <v>#DIV/0!</v>
      </c>
      <c r="B4" s="2" t="e">
        <f>LARGE(原始数据!$J$4:$J$15,ROW(B3))</f>
        <v>#DIV/0!</v>
      </c>
    </row>
    <row r="5" spans="1:2">
      <c r="A5" s="6" t="e" cm="1">
        <f t="array" ref="A5">INDEX(原始数据!B:B,SMALL(IF(原始数据!J$4:J$15=B5,ROW(J$4:J$15),4^8),COUNTIF(B$2:B5,B5)))</f>
        <v>#DIV/0!</v>
      </c>
      <c r="B5" s="2" t="e">
        <f>LARGE(原始数据!$J$4:$J$15,ROW(B4))</f>
        <v>#DIV/0!</v>
      </c>
    </row>
    <row r="6" spans="1:2">
      <c r="A6" s="6" t="e" cm="1">
        <f t="array" ref="A6">INDEX(原始数据!B:B,SMALL(IF(原始数据!J$4:J$15=B6,ROW(J$4:J$15),4^8),COUNTIF(B$2:B6,B6)))</f>
        <v>#DIV/0!</v>
      </c>
      <c r="B6" s="2" t="e">
        <f>LARGE(原始数据!$J$4:$J$15,ROW(B5))</f>
        <v>#DIV/0!</v>
      </c>
    </row>
    <row r="7" spans="1:2">
      <c r="A7" s="6" t="e" cm="1">
        <f t="array" ref="A7">INDEX(原始数据!B:B,SMALL(IF(原始数据!J$4:J$15=B7,ROW(J$4:J$15),4^8),COUNTIF(B$2:B7,B7)))</f>
        <v>#DIV/0!</v>
      </c>
      <c r="B7" s="2" t="e">
        <f>LARGE(原始数据!$J$4:$J$15,ROW(B6))</f>
        <v>#DIV/0!</v>
      </c>
    </row>
    <row r="8" spans="1:2">
      <c r="A8" s="6" t="e" cm="1">
        <f t="array" ref="A8">INDEX(原始数据!B:B,SMALL(IF(原始数据!J$4:J$15=B8,ROW(J$4:J$15),4^8),COUNTIF(B$2:B8,B8)))</f>
        <v>#DIV/0!</v>
      </c>
      <c r="B8" s="2" t="e">
        <f>LARGE(原始数据!$J$4:$J$15,ROW(B7))</f>
        <v>#DIV/0!</v>
      </c>
    </row>
    <row r="9" spans="1:2">
      <c r="A9" s="6" t="e" cm="1">
        <f t="array" ref="A9">INDEX(原始数据!B:B,SMALL(IF(原始数据!J$4:J$15=B9,ROW(J$4:J$15),4^8),COUNTIF(B$2:B9,B9)))</f>
        <v>#DIV/0!</v>
      </c>
      <c r="B9" s="2" t="e">
        <f>LARGE(原始数据!$J$4:$J$15,ROW(B8))</f>
        <v>#DIV/0!</v>
      </c>
    </row>
    <row r="10" spans="1:2">
      <c r="A10" s="6" t="e" cm="1">
        <f t="array" ref="A10">INDEX(原始数据!B:B,SMALL(IF(原始数据!J$4:J$15=B10,ROW(J$4:J$15),4^8),COUNTIF(B$2:B10,B10)))</f>
        <v>#DIV/0!</v>
      </c>
      <c r="B10" s="2" t="e">
        <f>LARGE(原始数据!$J$4:$J$15,ROW(B9))</f>
        <v>#DIV/0!</v>
      </c>
    </row>
    <row r="11" spans="1:2">
      <c r="A11" s="6" t="e" cm="1">
        <f t="array" ref="A11">INDEX(原始数据!B:B,SMALL(IF(原始数据!J$4:J$15=B11,ROW(J$4:J$15),4^8),COUNTIF(B$2:B11,B11)))</f>
        <v>#DIV/0!</v>
      </c>
      <c r="B11" s="2" t="e">
        <f>LARGE(原始数据!$J$4:$J$15,ROW(B10))</f>
        <v>#DIV/0!</v>
      </c>
    </row>
    <row r="12" spans="1:2">
      <c r="A12" s="6" t="e" cm="1">
        <f t="array" ref="A12">INDEX(原始数据!B:B,SMALL(IF(原始数据!J$4:J$15=B12,ROW(J$4:J$15),4^8),COUNTIF(B$2:B12,B12)))</f>
        <v>#DIV/0!</v>
      </c>
      <c r="B12" s="2" t="e">
        <f>LARGE(原始数据!$J$4:$J$15,ROW(B11))</f>
        <v>#DIV/0!</v>
      </c>
    </row>
    <row r="13" spans="1:2">
      <c r="A13" s="6" t="e" cm="1">
        <f t="array" ref="A13">INDEX(原始数据!B:B,SMALL(IF(原始数据!J$4:J$15=B13,ROW(J$4:J$15),4^8),COUNTIF(B$2:B13,B13)))</f>
        <v>#DIV/0!</v>
      </c>
      <c r="B13" s="2" t="e">
        <f>LARGE(原始数据!$J$4:$J$15,ROW(B12))</f>
        <v>#DIV/0!</v>
      </c>
    </row>
    <row r="14" spans="2:2">
      <c r="B14" s="2"/>
    </row>
  </sheetData>
  <pageMargins left="0.699305555555556" right="0.699305555555556" top="0.75" bottom="0.75" header="0.3" footer="0.3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145" zoomScaleNormal="145" workbookViewId="0">
      <selection activeCell="D16" sqref="D16"/>
    </sheetView>
  </sheetViews>
  <sheetFormatPr defaultColWidth="9" defaultRowHeight="15" outlineLevelCol="1"/>
  <cols>
    <col min="1" max="1" width="13.375" customWidth="1"/>
  </cols>
  <sheetData>
    <row r="1" spans="1:2">
      <c r="A1" s="1" t="s">
        <v>6</v>
      </c>
      <c r="B1" s="2" t="s">
        <v>12</v>
      </c>
    </row>
    <row r="2" spans="1:2">
      <c r="A2" s="6" t="e" cm="1">
        <f t="array" ref="A2">INDEX(原始数据!B:B,SMALL(IF(原始数据!H$16:H$28=B2,ROW(B$16:B$28),4^8),COUNTIF(B$2:B2,B2)))</f>
        <v>#DIV/0!</v>
      </c>
      <c r="B2" s="4" t="e">
        <f>LARGE(原始数据!$H$16:$H$28,ROW(B1))</f>
        <v>#DIV/0!</v>
      </c>
    </row>
    <row r="3" spans="1:2">
      <c r="A3" s="6" t="e" cm="1">
        <f t="array" ref="A3">INDEX(原始数据!B:B,SMALL(IF(原始数据!H$16:H$28=B3,ROW(B$16:B$28),4^8),COUNTIF(B$2:B3,B3)))</f>
        <v>#DIV/0!</v>
      </c>
      <c r="B3" s="4" t="e">
        <f>LARGE(原始数据!$H$16:$H$28,ROW(B2))</f>
        <v>#DIV/0!</v>
      </c>
    </row>
    <row r="4" spans="1:2">
      <c r="A4" s="6" t="e" cm="1">
        <f t="array" ref="A4">INDEX(原始数据!B:B,SMALL(IF(原始数据!H$16:H$28=B4,ROW(B$16:B$28),4^8),COUNTIF(B$2:B4,B4)))</f>
        <v>#DIV/0!</v>
      </c>
      <c r="B4" s="4" t="e">
        <f>LARGE(原始数据!$H$16:$H$28,ROW(B3))</f>
        <v>#DIV/0!</v>
      </c>
    </row>
    <row r="5" spans="1:2">
      <c r="A5" s="6" t="e" cm="1">
        <f t="array" ref="A5">INDEX(原始数据!B:B,SMALL(IF(原始数据!H$16:H$28=B5,ROW(B$16:B$28),4^8),COUNTIF(B$2:B5,B5)))</f>
        <v>#DIV/0!</v>
      </c>
      <c r="B5" s="4" t="e">
        <f>LARGE(原始数据!$H$16:$H$28,ROW(B4))</f>
        <v>#DIV/0!</v>
      </c>
    </row>
    <row r="6" spans="1:2">
      <c r="A6" s="6" t="e" cm="1">
        <f t="array" ref="A6">INDEX(原始数据!B:B,SMALL(IF(原始数据!H$16:H$28=B6,ROW(B$16:B$28),4^8),COUNTIF(B$2:B6,B6)))</f>
        <v>#DIV/0!</v>
      </c>
      <c r="B6" s="4" t="e">
        <f>LARGE(原始数据!$H$16:$H$28,ROW(B5))</f>
        <v>#DIV/0!</v>
      </c>
    </row>
    <row r="7" spans="1:2">
      <c r="A7" s="6" t="e" cm="1">
        <f t="array" ref="A7">INDEX(原始数据!B:B,SMALL(IF(原始数据!H$16:H$28=B7,ROW(B$16:B$28),4^8),COUNTIF(B$2:B7,B7)))</f>
        <v>#DIV/0!</v>
      </c>
      <c r="B7" s="4" t="e">
        <f>LARGE(原始数据!$H$16:$H$28,ROW(B6))</f>
        <v>#DIV/0!</v>
      </c>
    </row>
    <row r="8" spans="1:2">
      <c r="A8" s="6" t="e" cm="1">
        <f t="array" ref="A8">INDEX(原始数据!B:B,SMALL(IF(原始数据!H$16:H$28=B8,ROW(B$16:B$28),4^8),COUNTIF(B$2:B8,B8)))</f>
        <v>#DIV/0!</v>
      </c>
      <c r="B8" s="4" t="e">
        <f>LARGE(原始数据!$H$16:$H$28,ROW(B7))</f>
        <v>#DIV/0!</v>
      </c>
    </row>
    <row r="9" spans="1:2">
      <c r="A9" s="6" t="e" cm="1">
        <f t="array" ref="A9">INDEX(原始数据!B:B,SMALL(IF(原始数据!H$16:H$28=B9,ROW(B$16:B$28),4^8),COUNTIF(B$2:B9,B9)))</f>
        <v>#DIV/0!</v>
      </c>
      <c r="B9" s="4" t="e">
        <f>LARGE(原始数据!$H$16:$H$28,ROW(B8))</f>
        <v>#DIV/0!</v>
      </c>
    </row>
    <row r="10" spans="1:2">
      <c r="A10" s="6" t="e" cm="1">
        <f t="array" ref="A10">INDEX(原始数据!B:B,SMALL(IF(原始数据!H$16:H$28=B10,ROW(B$16:B$28),4^8),COUNTIF(B$2:B10,B10)))</f>
        <v>#DIV/0!</v>
      </c>
      <c r="B10" s="4" t="e">
        <f>LARGE(原始数据!$H$16:$H$28,ROW(B9))</f>
        <v>#DIV/0!</v>
      </c>
    </row>
    <row r="11" spans="1:2">
      <c r="A11" s="6" t="e" cm="1">
        <f t="array" ref="A11">INDEX(原始数据!B:B,SMALL(IF(原始数据!H$16:H$28=B11,ROW(B$16:B$28),4^8),COUNTIF(B$2:B11,B11)))</f>
        <v>#DIV/0!</v>
      </c>
      <c r="B11" s="4" t="e">
        <f>LARGE(原始数据!$H$16:$H$28,ROW(B10))</f>
        <v>#DIV/0!</v>
      </c>
    </row>
    <row r="12" spans="1:2">
      <c r="A12" s="6" t="e" cm="1">
        <f t="array" ref="A12">INDEX(原始数据!B:B,SMALL(IF(原始数据!H$16:H$28=B12,ROW(B$16:B$28),4^8),COUNTIF(B$2:B12,B12)))</f>
        <v>#DIV/0!</v>
      </c>
      <c r="B12" s="4" t="e">
        <f>LARGE(原始数据!$H$16:$H$28,ROW(B11))</f>
        <v>#DIV/0!</v>
      </c>
    </row>
    <row r="13" spans="1:2">
      <c r="A13" s="6" t="e" cm="1">
        <f t="array" ref="A13">INDEX(原始数据!B:B,SMALL(IF(原始数据!H$16:H$28=B13,ROW(B$16:B$28),4^8),COUNTIF(B$2:B13,B13)))</f>
        <v>#DIV/0!</v>
      </c>
      <c r="B13" s="4" t="e">
        <f>LARGE(原始数据!$H$16:$H$28,ROW(B12))</f>
        <v>#DIV/0!</v>
      </c>
    </row>
    <row r="14" spans="1:2">
      <c r="A14" s="6" t="e" cm="1">
        <f t="array" ref="A14">INDEX(原始数据!B:B,SMALL(IF(原始数据!H$16:H$28=B14,ROW(B$16:B$28),4^8),COUNTIF(B$2:B14,B14)))</f>
        <v>#DIV/0!</v>
      </c>
      <c r="B14" s="4" t="e">
        <f>LARGE(原始数据!$H$16:$H$28,ROW(B13))</f>
        <v>#DIV/0!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4"/>
  <sheetViews>
    <sheetView zoomScale="145" zoomScaleNormal="145" workbookViewId="0">
      <selection activeCell="D16" sqref="D16"/>
    </sheetView>
  </sheetViews>
  <sheetFormatPr defaultColWidth="9" defaultRowHeight="15"/>
  <cols>
    <col min="1" max="1" width="14.875" customWidth="1"/>
  </cols>
  <sheetData>
    <row r="1" spans="1:2">
      <c r="A1" s="1" t="s">
        <v>6</v>
      </c>
      <c r="B1" s="2" t="s">
        <v>63</v>
      </c>
    </row>
    <row r="2" spans="1:2">
      <c r="A2" s="6" t="e" cm="1">
        <f t="array" ref="A2">INDEX(原始数据!B:B,SMALL(IF(原始数据!T$16:T$28=B2,ROW(T$16:T$28),4^8),COUNTIF(B$2:B2,B2)))</f>
        <v>#DIV/0!</v>
      </c>
      <c r="B2" s="2" t="e">
        <f>LARGE(原始数据!$T$16:$T$28,ROW(B1))</f>
        <v>#DIV/0!</v>
      </c>
    </row>
    <row r="3" spans="1:2">
      <c r="A3" s="6" t="e" cm="1">
        <f t="array" ref="A3">INDEX(原始数据!B:B,SMALL(IF(原始数据!T$16:T$28=B3,ROW(T$16:T$28),4^8),COUNTIF(B$2:B3,B3)))</f>
        <v>#DIV/0!</v>
      </c>
      <c r="B3" s="2" t="e">
        <f>LARGE(原始数据!$T$16:$T$28,ROW(B2))</f>
        <v>#DIV/0!</v>
      </c>
    </row>
    <row r="4" spans="1:2">
      <c r="A4" s="6" t="e" cm="1">
        <f t="array" ref="A4">INDEX(原始数据!B:B,SMALL(IF(原始数据!T$16:T$28=B4,ROW(T$16:T$28),4^8),COUNTIF(B$2:B4,B4)))</f>
        <v>#DIV/0!</v>
      </c>
      <c r="B4" s="2" t="e">
        <f>LARGE(原始数据!$T$16:$T$28,ROW(B3))</f>
        <v>#DIV/0!</v>
      </c>
    </row>
    <row r="5" spans="1:2">
      <c r="A5" s="6" t="e" cm="1">
        <f t="array" ref="A5">INDEX(原始数据!B:B,SMALL(IF(原始数据!T$16:T$28=B5,ROW(T$16:T$28),4^8),COUNTIF(B$2:B5,B5)))</f>
        <v>#DIV/0!</v>
      </c>
      <c r="B5" s="2" t="e">
        <f>LARGE(原始数据!$T$16:$T$28,ROW(B4))</f>
        <v>#DIV/0!</v>
      </c>
    </row>
    <row r="6" spans="1:2">
      <c r="A6" s="6" t="e" cm="1">
        <f t="array" ref="A6">INDEX(原始数据!B:B,SMALL(IF(原始数据!T$16:T$28=B6,ROW(T$16:T$28),4^8),COUNTIF(B$2:B6,B6)))</f>
        <v>#DIV/0!</v>
      </c>
      <c r="B6" s="2" t="e">
        <f>LARGE(原始数据!$T$16:$T$28,ROW(B5))</f>
        <v>#DIV/0!</v>
      </c>
    </row>
    <row r="7" spans="1:2">
      <c r="A7" s="6" t="e" cm="1">
        <f t="array" ref="A7">INDEX(原始数据!B:B,SMALL(IF(原始数据!T$16:T$28=B7,ROW(T$16:T$28),4^8),COUNTIF(B$2:B7,B7)))</f>
        <v>#DIV/0!</v>
      </c>
      <c r="B7" s="2" t="e">
        <f>LARGE(原始数据!$T$16:$T$28,ROW(B6))</f>
        <v>#DIV/0!</v>
      </c>
    </row>
    <row r="8" spans="1:2">
      <c r="A8" s="6" t="e" cm="1">
        <f t="array" ref="A8">INDEX(原始数据!B:B,SMALL(IF(原始数据!T$16:T$28=B8,ROW(T$16:T$28),4^8),COUNTIF(B$2:B8,B8)))</f>
        <v>#DIV/0!</v>
      </c>
      <c r="B8" s="2" t="e">
        <f>LARGE(原始数据!$T$16:$T$28,ROW(B7))</f>
        <v>#DIV/0!</v>
      </c>
    </row>
    <row r="9" spans="1:2">
      <c r="A9" s="6" t="e" cm="1">
        <f t="array" ref="A9">INDEX(原始数据!B:B,SMALL(IF(原始数据!T$16:T$28=B9,ROW(T$16:T$28),4^8),COUNTIF(B$2:B9,B9)))</f>
        <v>#DIV/0!</v>
      </c>
      <c r="B9" s="2" t="e">
        <f>LARGE(原始数据!$T$16:$T$28,ROW(B8))</f>
        <v>#DIV/0!</v>
      </c>
    </row>
    <row r="10" spans="1:2">
      <c r="A10" s="6" t="e" cm="1">
        <f t="array" ref="A10">INDEX(原始数据!B:B,SMALL(IF(原始数据!T$16:T$28=B10,ROW(T$16:T$28),4^8),COUNTIF(B$2:B10,B10)))</f>
        <v>#DIV/0!</v>
      </c>
      <c r="B10" s="2" t="e">
        <f>LARGE(原始数据!$T$16:$T$28,ROW(B9))</f>
        <v>#DIV/0!</v>
      </c>
    </row>
    <row r="11" spans="1:2">
      <c r="A11" s="6" t="e" cm="1">
        <f t="array" ref="A11">INDEX(原始数据!B:B,SMALL(IF(原始数据!T$16:T$28=B11,ROW(T$16:T$28),4^8),COUNTIF(B$2:B11,B11)))</f>
        <v>#DIV/0!</v>
      </c>
      <c r="B11" s="2" t="e">
        <f>LARGE(原始数据!$T$16:$T$28,ROW(B10))</f>
        <v>#DIV/0!</v>
      </c>
    </row>
    <row r="12" spans="1:2">
      <c r="A12" s="6" t="e" cm="1">
        <f t="array" ref="A12">INDEX(原始数据!B:B,SMALL(IF(原始数据!T$16:T$28=B12,ROW(T$16:T$28),4^8),COUNTIF(B$2:B12,B12)))</f>
        <v>#DIV/0!</v>
      </c>
      <c r="B12" s="2" t="e">
        <f>LARGE(原始数据!$T$16:$T$28,ROW(B11))</f>
        <v>#DIV/0!</v>
      </c>
    </row>
    <row r="13" spans="1:2">
      <c r="A13" s="6" t="e" cm="1">
        <f t="array" ref="A13">INDEX(原始数据!B:B,SMALL(IF(原始数据!T$16:T$28=B13,ROW(T$16:T$28),4^8),COUNTIF(B$2:B13,B13)))</f>
        <v>#DIV/0!</v>
      </c>
      <c r="B13" s="2" t="e">
        <f>LARGE(原始数据!$T$16:$T$28,ROW(B12))</f>
        <v>#DIV/0!</v>
      </c>
    </row>
    <row r="14" spans="1:2">
      <c r="A14" s="6" t="e" cm="1">
        <f t="array" ref="A14">INDEX(原始数据!B:B,SMALL(IF(原始数据!T$16:T$28=B14,ROW(T$16:T$28),4^8),COUNTIF(B$2:B14,B14)))</f>
        <v>#DIV/0!</v>
      </c>
      <c r="B14" s="2" t="e">
        <f>LARGE(原始数据!$T$16:$T$28,ROW(B13))</f>
        <v>#DIV/0!</v>
      </c>
    </row>
    <row r="24" spans="13:13">
      <c r="M24" s="2"/>
    </row>
  </sheetData>
  <sortState ref="A2:B14">
    <sortCondition ref="B2:B14" descending="1"/>
  </sortState>
  <pageMargins left="0.699305555555556" right="0.699305555555556" top="0.75" bottom="0.75" header="0.3" footer="0.3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145" zoomScaleNormal="145" workbookViewId="0">
      <selection activeCell="H20" sqref="H20"/>
    </sheetView>
  </sheetViews>
  <sheetFormatPr defaultColWidth="9" defaultRowHeight="15" outlineLevelCol="1"/>
  <cols>
    <col min="1" max="1" width="14.875" customWidth="1"/>
  </cols>
  <sheetData>
    <row r="1" spans="1:2">
      <c r="A1" s="1" t="s">
        <v>6</v>
      </c>
      <c r="B1" s="2" t="s">
        <v>65</v>
      </c>
    </row>
    <row r="2" spans="1:2">
      <c r="A2" s="6" t="e" cm="1">
        <f t="array" ref="A2">INDEX(原始数据!B:B,SMALL(IF(原始数据!J$16:J$28=B2,ROW(J$16:J$28),4^8),COUNTIF(B$2:B2,B2)))</f>
        <v>#DIV/0!</v>
      </c>
      <c r="B2" s="2" t="e">
        <f>LARGE(原始数据!$J$16:$J$28,ROW(B1))</f>
        <v>#DIV/0!</v>
      </c>
    </row>
    <row r="3" spans="1:2">
      <c r="A3" s="6" t="e" cm="1">
        <f t="array" ref="A3">INDEX(原始数据!B:B,SMALL(IF(原始数据!J$16:J$28=B3,ROW(J$16:J$28),4^8),COUNTIF(B$2:B3,B3)))</f>
        <v>#DIV/0!</v>
      </c>
      <c r="B3" s="2" t="e">
        <f>LARGE(原始数据!$J$16:$J$28,ROW(B2))</f>
        <v>#DIV/0!</v>
      </c>
    </row>
    <row r="4" spans="1:2">
      <c r="A4" s="6" t="e" cm="1">
        <f t="array" ref="A4">INDEX(原始数据!B:B,SMALL(IF(原始数据!J$16:J$28=B4,ROW(J$16:J$28),4^8),COUNTIF(B$2:B4,B4)))</f>
        <v>#DIV/0!</v>
      </c>
      <c r="B4" s="2" t="e">
        <f>LARGE(原始数据!$J$16:$J$28,ROW(B3))</f>
        <v>#DIV/0!</v>
      </c>
    </row>
    <row r="5" spans="1:2">
      <c r="A5" s="6" t="e" cm="1">
        <f t="array" ref="A5">INDEX(原始数据!B:B,SMALL(IF(原始数据!J$16:J$28=B5,ROW(J$16:J$28),4^8),COUNTIF(B$2:B5,B5)))</f>
        <v>#DIV/0!</v>
      </c>
      <c r="B5" s="2" t="e">
        <f>LARGE(原始数据!$J$16:$J$28,ROW(B4))</f>
        <v>#DIV/0!</v>
      </c>
    </row>
    <row r="6" spans="1:2">
      <c r="A6" s="6" t="e" cm="1">
        <f t="array" ref="A6">INDEX(原始数据!B:B,SMALL(IF(原始数据!J$16:J$28=B6,ROW(J$16:J$28),4^8),COUNTIF(B$2:B6,B6)))</f>
        <v>#DIV/0!</v>
      </c>
      <c r="B6" s="2" t="e">
        <f>LARGE(原始数据!$J$16:$J$28,ROW(B5))</f>
        <v>#DIV/0!</v>
      </c>
    </row>
    <row r="7" spans="1:2">
      <c r="A7" s="6" t="e" cm="1">
        <f t="array" ref="A7">INDEX(原始数据!B:B,SMALL(IF(原始数据!J$16:J$28=B7,ROW(J$16:J$28),4^8),COUNTIF(B$2:B7,B7)))</f>
        <v>#DIV/0!</v>
      </c>
      <c r="B7" s="2" t="e">
        <f>LARGE(原始数据!$J$16:$J$28,ROW(B6))</f>
        <v>#DIV/0!</v>
      </c>
    </row>
    <row r="8" spans="1:2">
      <c r="A8" s="6" t="e" cm="1">
        <f t="array" ref="A8">INDEX(原始数据!B:B,SMALL(IF(原始数据!J$16:J$28=B8,ROW(J$16:J$28),4^8),COUNTIF(B$2:B8,B8)))</f>
        <v>#DIV/0!</v>
      </c>
      <c r="B8" s="2" t="e">
        <f>LARGE(原始数据!$J$16:$J$28,ROW(B7))</f>
        <v>#DIV/0!</v>
      </c>
    </row>
    <row r="9" spans="1:2">
      <c r="A9" s="6" t="e" cm="1">
        <f t="array" ref="A9">INDEX(原始数据!B:B,SMALL(IF(原始数据!J$16:J$28=B9,ROW(J$16:J$28),4^8),COUNTIF(B$2:B9,B9)))</f>
        <v>#DIV/0!</v>
      </c>
      <c r="B9" s="2" t="e">
        <f>LARGE(原始数据!$J$16:$J$28,ROW(B8))</f>
        <v>#DIV/0!</v>
      </c>
    </row>
    <row r="10" spans="1:2">
      <c r="A10" s="6" t="e" cm="1">
        <f t="array" ref="A10">INDEX(原始数据!B:B,SMALL(IF(原始数据!J$16:J$28=B10,ROW(J$16:J$28),4^8),COUNTIF(B$2:B10,B10)))</f>
        <v>#DIV/0!</v>
      </c>
      <c r="B10" s="2" t="e">
        <f>LARGE(原始数据!$J$16:$J$28,ROW(B9))</f>
        <v>#DIV/0!</v>
      </c>
    </row>
    <row r="11" spans="1:2">
      <c r="A11" s="6" t="e" cm="1">
        <f t="array" ref="A11">INDEX(原始数据!B:B,SMALL(IF(原始数据!J$16:J$28=B11,ROW(J$16:J$28),4^8),COUNTIF(B$2:B11,B11)))</f>
        <v>#DIV/0!</v>
      </c>
      <c r="B11" s="2" t="e">
        <f>LARGE(原始数据!$J$16:$J$28,ROW(B10))</f>
        <v>#DIV/0!</v>
      </c>
    </row>
    <row r="12" spans="1:2">
      <c r="A12" s="6" t="e" cm="1">
        <f t="array" ref="A12">INDEX(原始数据!B:B,SMALL(IF(原始数据!J$16:J$28=B12,ROW(J$16:J$28),4^8),COUNTIF(B$2:B12,B12)))</f>
        <v>#DIV/0!</v>
      </c>
      <c r="B12" s="2" t="e">
        <f>LARGE(原始数据!$J$16:$J$28,ROW(B11))</f>
        <v>#DIV/0!</v>
      </c>
    </row>
    <row r="13" spans="1:2">
      <c r="A13" s="6" t="e" cm="1">
        <f t="array" ref="A13">INDEX(原始数据!B:B,SMALL(IF(原始数据!J$16:J$28=B13,ROW(J$16:J$28),4^8),COUNTIF(B$2:B13,B13)))</f>
        <v>#DIV/0!</v>
      </c>
      <c r="B13" s="2" t="e">
        <f>LARGE(原始数据!$J$16:$J$28,ROW(B12))</f>
        <v>#DIV/0!</v>
      </c>
    </row>
    <row r="14" spans="1:2">
      <c r="A14" s="6" t="e" cm="1">
        <f t="array" ref="A14">INDEX(原始数据!B:B,SMALL(IF(原始数据!J$16:J$28=B14,ROW(J$16:J$28),4^8),COUNTIF(B$2:B14,B14)))</f>
        <v>#DIV/0!</v>
      </c>
      <c r="B14" s="2" t="e">
        <f>LARGE(原始数据!$J$16:$J$28,ROW(B13))</f>
        <v>#DIV/0!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160" zoomScaleNormal="160" workbookViewId="0">
      <selection activeCell="F15" sqref="F15"/>
    </sheetView>
  </sheetViews>
  <sheetFormatPr defaultColWidth="9" defaultRowHeight="15" outlineLevelCol="1"/>
  <cols>
    <col min="1" max="1" width="13.375" customWidth="1"/>
  </cols>
  <sheetData>
    <row r="1" spans="1:2">
      <c r="A1" s="1" t="s">
        <v>6</v>
      </c>
      <c r="B1" s="2" t="s">
        <v>12</v>
      </c>
    </row>
    <row r="2" spans="1:2">
      <c r="A2" s="3" t="e" cm="1">
        <f t="array" ref="A2">INDEX(原始数据!B:B,SMALL(IF(原始数据!H$29:H$41=B2,ROW(B$29:B$41),4^8),COUNTIF(B$2:B2,B2)))</f>
        <v>#DIV/0!</v>
      </c>
      <c r="B2" s="2" t="e">
        <f>LARGE(原始数据!$H$29:$H$41,ROW(B1))</f>
        <v>#DIV/0!</v>
      </c>
    </row>
    <row r="3" spans="1:2">
      <c r="A3" s="3" t="e" cm="1">
        <f t="array" ref="A3">INDEX(原始数据!B:B,SMALL(IF(原始数据!H$29:H$41=B3,ROW(B$29:B$41),4^8),COUNTIF(B$2:B3,B3)))</f>
        <v>#DIV/0!</v>
      </c>
      <c r="B3" s="2" t="e">
        <f>LARGE(原始数据!$H$29:$H$41,ROW(B2))</f>
        <v>#DIV/0!</v>
      </c>
    </row>
    <row r="4" spans="1:2">
      <c r="A4" s="3" t="e" cm="1">
        <f t="array" ref="A4">INDEX(原始数据!B:B,SMALL(IF(原始数据!H$29:H$41=B4,ROW(B$29:B$41),4^8),COUNTIF(B$2:B4,B4)))</f>
        <v>#DIV/0!</v>
      </c>
      <c r="B4" s="2" t="e">
        <f>LARGE(原始数据!$H$29:$H$41,ROW(B3))</f>
        <v>#DIV/0!</v>
      </c>
    </row>
    <row r="5" spans="1:2">
      <c r="A5" s="3" t="e" cm="1">
        <f t="array" ref="A5">INDEX(原始数据!B:B,SMALL(IF(原始数据!H$29:H$41=B5,ROW(B$29:B$41),4^8),COUNTIF(B$2:B5,B5)))</f>
        <v>#DIV/0!</v>
      </c>
      <c r="B5" s="2" t="e">
        <f>LARGE(原始数据!$H$29:$H$41,ROW(B4))</f>
        <v>#DIV/0!</v>
      </c>
    </row>
    <row r="6" spans="1:2">
      <c r="A6" s="3" t="e" cm="1">
        <f t="array" ref="A6">INDEX(原始数据!B:B,SMALL(IF(原始数据!H$29:H$41=B6,ROW(B$29:B$41),4^8),COUNTIF(B$2:B6,B6)))</f>
        <v>#DIV/0!</v>
      </c>
      <c r="B6" s="2" t="e">
        <f>LARGE(原始数据!$H$29:$H$41,ROW(B5))</f>
        <v>#DIV/0!</v>
      </c>
    </row>
    <row r="7" spans="1:2">
      <c r="A7" s="3" t="e" cm="1">
        <f t="array" ref="A7">INDEX(原始数据!B:B,SMALL(IF(原始数据!H$29:H$41=B7,ROW(B$29:B$41),4^8),COUNTIF(B$2:B7,B7)))</f>
        <v>#DIV/0!</v>
      </c>
      <c r="B7" s="2" t="e">
        <f>LARGE(原始数据!$H$29:$H$41,ROW(B6))</f>
        <v>#DIV/0!</v>
      </c>
    </row>
    <row r="8" spans="1:2">
      <c r="A8" s="3" t="e" cm="1">
        <f t="array" ref="A8">INDEX(原始数据!B:B,SMALL(IF(原始数据!H$29:H$41=B8,ROW(B$29:B$41),4^8),COUNTIF(B$2:B8,B8)))</f>
        <v>#DIV/0!</v>
      </c>
      <c r="B8" s="2" t="e">
        <f>LARGE(原始数据!$H$29:$H$41,ROW(B7))</f>
        <v>#DIV/0!</v>
      </c>
    </row>
    <row r="9" spans="1:2">
      <c r="A9" s="3" t="e" cm="1">
        <f t="array" ref="A9">INDEX(原始数据!B:B,SMALL(IF(原始数据!H$29:H$41=B9,ROW(B$29:B$41),4^8),COUNTIF(B$2:B9,B9)))</f>
        <v>#DIV/0!</v>
      </c>
      <c r="B9" s="2" t="e">
        <f>LARGE(原始数据!$H$29:$H$41,ROW(B8))</f>
        <v>#DIV/0!</v>
      </c>
    </row>
    <row r="10" spans="1:2">
      <c r="A10" s="3" t="e" cm="1">
        <f t="array" ref="A10">INDEX(原始数据!B:B,SMALL(IF(原始数据!H$29:H$41=B10,ROW(B$29:B$41),4^8),COUNTIF(B$2:B10,B10)))</f>
        <v>#DIV/0!</v>
      </c>
      <c r="B10" s="2" t="e">
        <f>LARGE(原始数据!$H$29:$H$41,ROW(B9))</f>
        <v>#DIV/0!</v>
      </c>
    </row>
    <row r="11" spans="1:2">
      <c r="A11" s="3" t="e" cm="1">
        <f t="array" ref="A11">INDEX(原始数据!B:B,SMALL(IF(原始数据!H$29:H$41=B11,ROW(B$29:B$41),4^8),COUNTIF(B$2:B11,B11)))</f>
        <v>#DIV/0!</v>
      </c>
      <c r="B11" s="2" t="e">
        <f>LARGE(原始数据!$H$29:$H$41,ROW(B10))</f>
        <v>#DIV/0!</v>
      </c>
    </row>
    <row r="12" spans="1:2">
      <c r="A12" s="3" t="e" cm="1">
        <f t="array" ref="A12">INDEX(原始数据!B:B,SMALL(IF(原始数据!H$29:H$41=B12,ROW(B$29:B$41),4^8),COUNTIF(B$2:B12,B12)))</f>
        <v>#DIV/0!</v>
      </c>
      <c r="B12" s="2" t="e">
        <f>LARGE(原始数据!$H$29:$H$41,ROW(B11))</f>
        <v>#DIV/0!</v>
      </c>
    </row>
    <row r="13" spans="1:2">
      <c r="A13" s="3" t="e" cm="1">
        <f t="array" ref="A13">INDEX(原始数据!B:B,SMALL(IF(原始数据!H$29:H$41=B13,ROW(B$29:B$41),4^8),COUNTIF(B$2:B13,B13)))</f>
        <v>#DIV/0!</v>
      </c>
      <c r="B13" s="2" t="e">
        <f>LARGE(原始数据!$H$29:$H$41,ROW(B12))</f>
        <v>#DIV/0!</v>
      </c>
    </row>
    <row r="14" spans="1:2">
      <c r="A14" s="3" t="e" cm="1">
        <f t="array" ref="A14">INDEX(原始数据!B:B,SMALL(IF(原始数据!H$29:H$41=B14,ROW(B$29:B$41),4^8),COUNTIF(B$2:B14,B14)))</f>
        <v>#DIV/0!</v>
      </c>
      <c r="B14" s="2" t="e">
        <f>LARGE(原始数据!$H$29:$H$41,ROW(B13))</f>
        <v>#DIV/0!</v>
      </c>
    </row>
  </sheetData>
  <pageMargins left="0.699305555555556" right="0.699305555555556" top="0.75" bottom="0.75" header="0.3" footer="0.3"/>
  <pageSetup paperSize="9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zoomScale="145" zoomScaleNormal="145" workbookViewId="0">
      <selection activeCell="G15" sqref="G15"/>
    </sheetView>
  </sheetViews>
  <sheetFormatPr defaultColWidth="9" defaultRowHeight="15" outlineLevelCol="1"/>
  <cols>
    <col min="1" max="1" width="14.875" customWidth="1"/>
  </cols>
  <sheetData>
    <row r="1" spans="1:2">
      <c r="A1" s="1" t="s">
        <v>6</v>
      </c>
      <c r="B1" s="2" t="s">
        <v>63</v>
      </c>
    </row>
    <row r="2" spans="1:2">
      <c r="A2" s="3" t="e" cm="1">
        <f t="array" ref="A2">INDEX(原始数据!B:B,SMALL(IF(原始数据!T$29:T$41=B2,ROW(T$29:T$41),4^8),COUNTIF(B$2:B2,B2)))</f>
        <v>#DIV/0!</v>
      </c>
      <c r="B2" s="4" t="e">
        <f>LARGE(原始数据!$T$29:$T$41,ROW(B1))</f>
        <v>#DIV/0!</v>
      </c>
    </row>
    <row r="3" spans="1:2">
      <c r="A3" s="3" t="e" cm="1">
        <f t="array" ref="A3">INDEX(原始数据!B:B,SMALL(IF(原始数据!T$29:T$41=B3,ROW(T$29:T$41),4^8),COUNTIF(B$2:B3,B3)))</f>
        <v>#DIV/0!</v>
      </c>
      <c r="B3" s="4" t="e">
        <f>LARGE(原始数据!$T$29:$T$41,ROW(B2))</f>
        <v>#DIV/0!</v>
      </c>
    </row>
    <row r="4" spans="1:2">
      <c r="A4" s="3" t="e" cm="1">
        <f t="array" ref="A4">INDEX(原始数据!B:B,SMALL(IF(原始数据!T$29:T$41=B4,ROW(T$29:T$41),4^8),COUNTIF(B$2:B4,B4)))</f>
        <v>#DIV/0!</v>
      </c>
      <c r="B4" s="4" t="e">
        <f>LARGE(原始数据!$T$29:$T$41,ROW(B3))</f>
        <v>#DIV/0!</v>
      </c>
    </row>
    <row r="5" spans="1:2">
      <c r="A5" s="3" t="e" cm="1">
        <f t="array" ref="A5">INDEX(原始数据!B:B,SMALL(IF(原始数据!T$29:T$41=B5,ROW(T$29:T$41),4^8),COUNTIF(B$2:B5,B5)))</f>
        <v>#DIV/0!</v>
      </c>
      <c r="B5" s="4" t="e">
        <f>LARGE(原始数据!$T$29:$T$41,ROW(B4))</f>
        <v>#DIV/0!</v>
      </c>
    </row>
    <row r="6" spans="1:2">
      <c r="A6" s="3" t="e" cm="1">
        <f t="array" ref="A6">INDEX(原始数据!B:B,SMALL(IF(原始数据!T$29:T$41=B6,ROW(T$29:T$41),4^8),COUNTIF(B$2:B6,B6)))</f>
        <v>#DIV/0!</v>
      </c>
      <c r="B6" s="4" t="e">
        <f>LARGE(原始数据!$T$29:$T$41,ROW(B5))</f>
        <v>#DIV/0!</v>
      </c>
    </row>
    <row r="7" spans="1:2">
      <c r="A7" s="3" t="e" cm="1">
        <f t="array" ref="A7">INDEX(原始数据!B:B,SMALL(IF(原始数据!T$29:T$41=B7,ROW(T$29:T$41),4^8),COUNTIF(B$2:B7,B7)))</f>
        <v>#DIV/0!</v>
      </c>
      <c r="B7" s="4" t="e">
        <f>LARGE(原始数据!$T$29:$T$41,ROW(B6))</f>
        <v>#DIV/0!</v>
      </c>
    </row>
    <row r="8" spans="1:2">
      <c r="A8" s="3" t="e" cm="1">
        <f t="array" ref="A8">INDEX(原始数据!B:B,SMALL(IF(原始数据!T$29:T$41=B8,ROW(T$29:T$41),4^8),COUNTIF(B$2:B8,B8)))</f>
        <v>#DIV/0!</v>
      </c>
      <c r="B8" s="4" t="e">
        <f>LARGE(原始数据!$T$29:$T$41,ROW(B7))</f>
        <v>#DIV/0!</v>
      </c>
    </row>
    <row r="9" spans="1:2">
      <c r="A9" s="3" t="e" cm="1">
        <f t="array" ref="A9">INDEX(原始数据!B:B,SMALL(IF(原始数据!T$29:T$41=B9,ROW(T$29:T$41),4^8),COUNTIF(B$2:B9,B9)))</f>
        <v>#DIV/0!</v>
      </c>
      <c r="B9" s="4" t="e">
        <f>LARGE(原始数据!$T$29:$T$41,ROW(B8))</f>
        <v>#DIV/0!</v>
      </c>
    </row>
    <row r="10" spans="1:2">
      <c r="A10" s="3" t="e" cm="1">
        <f t="array" ref="A10">INDEX(原始数据!B:B,SMALL(IF(原始数据!T$29:T$41=B10,ROW(T$29:T$41),4^8),COUNTIF(B$2:B10,B10)))</f>
        <v>#DIV/0!</v>
      </c>
      <c r="B10" s="4" t="e">
        <f>LARGE(原始数据!$T$29:$T$41,ROW(B9))</f>
        <v>#DIV/0!</v>
      </c>
    </row>
    <row r="11" spans="1:2">
      <c r="A11" s="3" t="e" cm="1">
        <f t="array" ref="A11">INDEX(原始数据!B:B,SMALL(IF(原始数据!T$29:T$41=B11,ROW(T$29:T$41),4^8),COUNTIF(B$2:B11,B11)))</f>
        <v>#DIV/0!</v>
      </c>
      <c r="B11" s="4" t="e">
        <f>LARGE(原始数据!$T$29:$T$41,ROW(B10))</f>
        <v>#DIV/0!</v>
      </c>
    </row>
    <row r="12" spans="1:2">
      <c r="A12" s="3" t="e" cm="1">
        <f t="array" ref="A12">INDEX(原始数据!B:B,SMALL(IF(原始数据!T$29:T$41=B12,ROW(T$29:T$41),4^8),COUNTIF(B$2:B12,B12)))</f>
        <v>#DIV/0!</v>
      </c>
      <c r="B12" s="4" t="e">
        <f>LARGE(原始数据!$T$29:$T$41,ROW(B11))</f>
        <v>#DIV/0!</v>
      </c>
    </row>
    <row r="13" spans="1:2">
      <c r="A13" s="3" t="e" cm="1">
        <f t="array" ref="A13">INDEX(原始数据!B:B,SMALL(IF(原始数据!T$29:T$41=B13,ROW(T$29:T$41),4^8),COUNTIF(B$2:B13,B13)))</f>
        <v>#DIV/0!</v>
      </c>
      <c r="B13" s="4" t="e">
        <f>LARGE(原始数据!$T$29:$T$41,ROW(B12))</f>
        <v>#DIV/0!</v>
      </c>
    </row>
    <row r="14" spans="1:2">
      <c r="A14" s="3" t="e" cm="1">
        <f t="array" ref="A14">INDEX(原始数据!B:B,SMALL(IF(原始数据!T$29:T$41=B14,ROW(T$29:T$41),4^8),COUNTIF(B$2:B14,B14)))</f>
        <v>#DIV/0!</v>
      </c>
      <c r="B14" s="4" t="e">
        <f>LARGE(原始数据!$T$29:$T$41,ROW(B13))</f>
        <v>#DIV/0!</v>
      </c>
    </row>
    <row r="15" spans="2:2">
      <c r="B15" s="5"/>
    </row>
  </sheetData>
  <pageMargins left="0.699305555555556" right="0.699305555555556" top="0.75" bottom="0.75" header="0.3" footer="0.3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zoomScale="145" zoomScaleNormal="145" workbookViewId="0">
      <selection activeCell="E16" sqref="E16"/>
    </sheetView>
  </sheetViews>
  <sheetFormatPr defaultColWidth="9" defaultRowHeight="15" outlineLevelCol="1"/>
  <cols>
    <col min="1" max="1" width="14.875" customWidth="1"/>
  </cols>
  <sheetData>
    <row r="1" spans="1:2">
      <c r="A1" s="1" t="s">
        <v>6</v>
      </c>
      <c r="B1" s="2" t="s">
        <v>65</v>
      </c>
    </row>
    <row r="2" spans="1:2">
      <c r="A2" s="3" t="e" cm="1">
        <f t="array" ref="A2">INDEX(原始数据!B:B,SMALL(IF(原始数据!J$29:J$41=B2,ROW(J$29:J$41),4^8),COUNTIF(B$2:B2,B2)))</f>
        <v>#DIV/0!</v>
      </c>
      <c r="B2" s="2" t="e">
        <f>LARGE(原始数据!$J$29:$J$41,ROW(B1))</f>
        <v>#DIV/0!</v>
      </c>
    </row>
    <row r="3" spans="1:2">
      <c r="A3" s="3" t="e" cm="1">
        <f t="array" ref="A3">INDEX(原始数据!B:B,SMALL(IF(原始数据!J$29:J$41=B3,ROW(J$29:J$41),4^8),COUNTIF(B$2:B3,B3)))</f>
        <v>#DIV/0!</v>
      </c>
      <c r="B3" s="2" t="e">
        <f>LARGE(原始数据!$J$29:$J$41,ROW(B2))</f>
        <v>#DIV/0!</v>
      </c>
    </row>
    <row r="4" spans="1:2">
      <c r="A4" s="3" t="e" cm="1">
        <f t="array" ref="A4">INDEX(原始数据!B:B,SMALL(IF(原始数据!J$29:J$41=B4,ROW(J$29:J$41),4^8),COUNTIF(B$2:B4,B4)))</f>
        <v>#DIV/0!</v>
      </c>
      <c r="B4" s="2" t="e">
        <f>LARGE(原始数据!$J$29:$J$41,ROW(B3))</f>
        <v>#DIV/0!</v>
      </c>
    </row>
    <row r="5" spans="1:2">
      <c r="A5" s="3" t="e" cm="1">
        <f t="array" ref="A5">INDEX(原始数据!B:B,SMALL(IF(原始数据!J$29:J$41=B5,ROW(J$29:J$41),4^8),COUNTIF(B$2:B5,B5)))</f>
        <v>#DIV/0!</v>
      </c>
      <c r="B5" s="2" t="e">
        <f>LARGE(原始数据!$J$29:$J$41,ROW(B4))</f>
        <v>#DIV/0!</v>
      </c>
    </row>
    <row r="6" spans="1:2">
      <c r="A6" s="3" t="e" cm="1">
        <f t="array" ref="A6">INDEX(原始数据!B:B,SMALL(IF(原始数据!J$29:J$41=B6,ROW(J$29:J$41),4^8),COUNTIF(B$2:B6,B6)))</f>
        <v>#DIV/0!</v>
      </c>
      <c r="B6" s="2" t="e">
        <f>LARGE(原始数据!$J$29:$J$41,ROW(B5))</f>
        <v>#DIV/0!</v>
      </c>
    </row>
    <row r="7" spans="1:2">
      <c r="A7" s="3" t="e" cm="1">
        <f t="array" ref="A7">INDEX(原始数据!B:B,SMALL(IF(原始数据!J$29:J$41=B7,ROW(J$29:J$41),4^8),COUNTIF(B$2:B7,B7)))</f>
        <v>#DIV/0!</v>
      </c>
      <c r="B7" s="2" t="e">
        <f>LARGE(原始数据!$J$29:$J$41,ROW(B6))</f>
        <v>#DIV/0!</v>
      </c>
    </row>
    <row r="8" spans="1:2">
      <c r="A8" s="3" t="e" cm="1">
        <f t="array" ref="A8">INDEX(原始数据!B:B,SMALL(IF(原始数据!J$29:J$41=B8,ROW(J$29:J$41),4^8),COUNTIF(B$2:B8,B8)))</f>
        <v>#DIV/0!</v>
      </c>
      <c r="B8" s="2" t="e">
        <f>LARGE(原始数据!$J$29:$J$41,ROW(B7))</f>
        <v>#DIV/0!</v>
      </c>
    </row>
    <row r="9" spans="1:2">
      <c r="A9" s="3" t="e" cm="1">
        <f t="array" ref="A9">INDEX(原始数据!B:B,SMALL(IF(原始数据!J$29:J$41=B9,ROW(J$29:J$41),4^8),COUNTIF(B$2:B9,B9)))</f>
        <v>#DIV/0!</v>
      </c>
      <c r="B9" s="2" t="e">
        <f>LARGE(原始数据!$J$29:$J$41,ROW(B8))</f>
        <v>#DIV/0!</v>
      </c>
    </row>
    <row r="10" spans="1:2">
      <c r="A10" s="3" t="e" cm="1">
        <f t="array" ref="A10">INDEX(原始数据!B:B,SMALL(IF(原始数据!J$29:J$41=B10,ROW(J$29:J$41),4^8),COUNTIF(B$2:B10,B10)))</f>
        <v>#DIV/0!</v>
      </c>
      <c r="B10" s="2" t="e">
        <f>LARGE(原始数据!$J$29:$J$41,ROW(B9))</f>
        <v>#DIV/0!</v>
      </c>
    </row>
    <row r="11" spans="1:2">
      <c r="A11" s="3" t="e" cm="1">
        <f t="array" ref="A11">INDEX(原始数据!B:B,SMALL(IF(原始数据!J$29:J$41=B11,ROW(J$29:J$41),4^8),COUNTIF(B$2:B11,B11)))</f>
        <v>#DIV/0!</v>
      </c>
      <c r="B11" s="2" t="e">
        <f>LARGE(原始数据!$J$29:$J$41,ROW(B10))</f>
        <v>#DIV/0!</v>
      </c>
    </row>
    <row r="12" spans="1:2">
      <c r="A12" s="3" t="e" cm="1">
        <f t="array" ref="A12">INDEX(原始数据!B:B,SMALL(IF(原始数据!J$29:J$41=B12,ROW(J$29:J$41),4^8),COUNTIF(B$2:B12,B12)))</f>
        <v>#DIV/0!</v>
      </c>
      <c r="B12" s="2" t="e">
        <f>LARGE(原始数据!$J$29:$J$41,ROW(B11))</f>
        <v>#DIV/0!</v>
      </c>
    </row>
    <row r="13" spans="1:2">
      <c r="A13" s="3" t="e" cm="1">
        <f t="array" ref="A13">INDEX(原始数据!B:B,SMALL(IF(原始数据!J$29:J$41=B13,ROW(J$29:J$41),4^8),COUNTIF(B$2:B13,B13)))</f>
        <v>#DIV/0!</v>
      </c>
      <c r="B13" s="2" t="e">
        <f>LARGE(原始数据!$J$29:$J$41,ROW(B12))</f>
        <v>#DIV/0!</v>
      </c>
    </row>
    <row r="14" spans="1:2">
      <c r="A14" s="3" t="e" cm="1">
        <f t="array" ref="A14">INDEX(原始数据!B:B,SMALL(IF(原始数据!J$29:J$41=B14,ROW(J$29:J$41),4^8),COUNTIF(B$2:B14,B14)))</f>
        <v>#DIV/0!</v>
      </c>
      <c r="B14" s="2" t="e">
        <f>LARGE(原始数据!$J$29:$J$41,ROW(B13))</f>
        <v>#DIV/0!</v>
      </c>
    </row>
  </sheetData>
  <pageMargins left="0.699305555555556" right="0.699305555555556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原始数据</vt:lpstr>
      <vt:lpstr>各班级出勤情况</vt:lpstr>
      <vt:lpstr>各班级违纪情况</vt:lpstr>
      <vt:lpstr>各班级迟到情况</vt:lpstr>
      <vt:lpstr>25级出勤情况  </vt:lpstr>
      <vt:lpstr>25级违纪情况  </vt:lpstr>
      <vt:lpstr>25级迟到情况</vt:lpstr>
      <vt:lpstr>23级出勤情况 </vt:lpstr>
      <vt:lpstr>23级违纪情况 </vt:lpstr>
      <vt:lpstr>23级迟到情况</vt:lpstr>
      <vt:lpstr>24级出勤情况 </vt:lpstr>
      <vt:lpstr>24级违纪情况 </vt:lpstr>
      <vt:lpstr>24级迟到情况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董孝达</cp:lastModifiedBy>
  <cp:revision>1</cp:revision>
  <dcterms:created xsi:type="dcterms:W3CDTF">2015-04-11T14:56:00Z</dcterms:created>
  <cp:lastPrinted>2023-10-21T11:26:00Z</cp:lastPrinted>
  <dcterms:modified xsi:type="dcterms:W3CDTF">2025-11-23T14:23:28Z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3BFDE6CFC45D4854A0683937E0703F4C_13</vt:lpwstr>
  </property>
</Properties>
</file>